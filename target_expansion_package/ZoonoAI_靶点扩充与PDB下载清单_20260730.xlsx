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000240470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总览" sheetId="1" r:id="R5fe8ff2bcf3f4ec7"/>
    <x:sheet xmlns:r="http://schemas.openxmlformats.org/officeDocument/2006/relationships" name="优先补库清单" sheetId="2" r:id="Rc5db0fd0bfc648cf"/>
    <x:sheet xmlns:r="http://schemas.openxmlformats.org/officeDocument/2006/relationships" name="下载清单_P0" sheetId="3" r:id="Rc8d5e79134734f2a"/>
    <x:sheet xmlns:r="http://schemas.openxmlformats.org/officeDocument/2006/relationships" name="需提升路由_唯一" sheetId="4" r:id="Rd2c9706ada9245df"/>
    <x:sheet xmlns:r="http://schemas.openxmlformats.org/officeDocument/2006/relationships" name="本地asset明细" sheetId="5" r:id="R9cb4e5966a914e0f"/>
    <x:sheet xmlns:r="http://schemas.openxmlformats.org/officeDocument/2006/relationships" name="疾病缺口纠错" sheetId="6" r:id="R3df637ff30ed48ea"/>
    <x:sheet xmlns:r="http://schemas.openxmlformats.org/officeDocument/2006/relationships" name="现有本地269" sheetId="7" r:id="Rd9be4a2bad9a4e30"/>
    <x:sheet xmlns:r="http://schemas.openxmlformats.org/officeDocument/2006/relationships" name="病原体抗原种子" sheetId="8" r:id="R4abc3a96962a4649"/>
    <x:sheet xmlns:r="http://schemas.openxmlformats.org/officeDocument/2006/relationships" name="字段说明" sheetId="9" r:id="Rede3bc74443d432c"/>
    <x:sheet xmlns:r="http://schemas.openxmlformats.org/officeDocument/2006/relationships" name="来源与口径" sheetId="10" r:id="R247c055b0df5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b/>
      <x:sz val="20"/>
      <x:color rgb="FF0F766E"/>
      <x:name val="Carlito"/>
    </x:font>
    <x:font>
      <x:b/>
      <x:sz val="20"/>
      <x:color rgb="FF15803D"/>
      <x:name val="Carlito"/>
    </x:font>
    <x:font>
      <x:b/>
      <x:sz val="20"/>
      <x:color rgb="FF17324D"/>
      <x:name val="Carlito"/>
    </x:font>
    <x:font>
      <x:b/>
      <x:sz val="20"/>
      <x:color rgb="FFB45309"/>
      <x:name val="Carlito"/>
    </x:font>
    <x:font>
      <x:b/>
      <x:sz val="20"/>
      <x:color rgb="FFB91C1C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color rgb="FFB45309"/>
      <x:name val="Carlito"/>
    </x:font>
    <x:font>
      <x:b/>
      <x:sz val="11"/>
      <x:color rgb="FF0F766E"/>
      <x:name val="Carlito"/>
    </x:font>
    <x:font>
      <x:b/>
      <x:sz val="11"/>
      <x:color rgb="FF17324D"/>
      <x:name val="Carlito"/>
    </x:font>
    <x:font>
      <x:sz val="9"/>
      <x:color rgb="FF1F2937"/>
      <x:name val="Consolas"/>
    </x:font>
    <x:font>
      <x:sz val="9"/>
      <x:color rgb="FF2563EB"/>
      <x:name val="Carlito"/>
    </x:font>
    <x:font>
      <x:sz val="9"/>
      <x:color rgb="FF1F2937"/>
      <x:name val="Carlito"/>
    </x:font>
    <x:font>
      <x:b/>
      <x:sz val="9"/>
      <x:color rgb="FF17324D"/>
      <x:name val="Carlito"/>
    </x:font>
    <x:font>
      <x:b/>
      <x:sz val="18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5803D"/>
      </x:patternFill>
    </x:fill>
    <x:fill>
      <x:patternFill patternType="solid">
        <x:fgColor rgb="FFB45309"/>
      </x:patternFill>
    </x:fill>
    <x:fill>
      <x:patternFill patternType="solid">
        <x:fgColor rgb="FFB91C1C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</x:fills>
  <x:borders count="4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0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2" xfId="0" applyNumberFormat="1" applyFont="1" applyFill="1" applyBorder="1" applyAlignment="1">
      <x:alignment horizontal="center"/>
    </x:xf>
    <x:xf numFmtId="0" fontId="6" fillId="5" borderId="13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6" xfId="0" applyNumberFormat="1" applyFont="1" applyFill="1" applyBorder="1" applyAlignment="1">
      <x:alignment horizontal="center"/>
    </x:xf>
    <x:xf numFmtId="0" fontId="7" fillId="5" borderId="17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7" fillId="5" borderId="1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18" xfId="0" applyNumberFormat="1" applyFont="1" applyFill="1" applyBorder="1"/>
    <x:xf numFmtId="0" fontId="8" fillId="5" borderId="19" xfId="0" applyNumberFormat="1" applyFont="1" applyFill="1" applyBorder="1"/>
    <x:xf numFmtId="0" fontId="8" fillId="5" borderId="18" xfId="0" applyNumberFormat="1" applyFont="1" applyFill="1" applyBorder="1" applyAlignment="1">
      <x:alignment horizontal="center"/>
    </x:xf>
    <x:xf numFmtId="0" fontId="8" fillId="5" borderId="19" xfId="0" applyNumberFormat="1" applyFont="1" applyFill="1" applyBorder="1" applyAlignment="1">
      <x:alignment horizontal="center"/>
    </x:xf>
    <x:xf numFmtId="0" fontId="8" fillId="5" borderId="18" xfId="0" applyNumberFormat="1" applyFont="1" applyFill="1" applyBorder="1" applyAlignment="1">
      <x:alignment horizontal="center" vertical="center"/>
    </x:xf>
    <x:xf numFmtId="0" fontId="8" fillId="5" borderId="19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8" fillId="5" borderId="20" xfId="0" applyNumberFormat="1" applyFont="1" applyFill="1" applyBorder="1"/>
    <x:xf numFmtId="0" fontId="8" fillId="5" borderId="21" xfId="0" applyNumberFormat="1" applyFont="1" applyFill="1" applyBorder="1"/>
    <x:xf numFmtId="0" fontId="8" fillId="5" borderId="20" xfId="0" applyNumberFormat="1" applyFont="1" applyFill="1" applyBorder="1" applyAlignment="1">
      <x:alignment horizontal="center"/>
    </x:xf>
    <x:xf numFmtId="0" fontId="8" fillId="5" borderId="21" xfId="0" applyNumberFormat="1" applyFont="1" applyFill="1" applyBorder="1" applyAlignment="1">
      <x:alignment horizontal="center"/>
    </x:xf>
    <x:xf numFmtId="0" fontId="8" fillId="5" borderId="20" xfId="0" applyNumberFormat="1" applyFont="1" applyFill="1" applyBorder="1" applyAlignment="1">
      <x:alignment horizontal="center" vertical="center"/>
    </x:xf>
    <x:xf numFmtId="0" fontId="8" fillId="5" borderId="2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left"/>
    </x:xf>
    <x:xf numFmtId="0" fontId="9" fillId="4" borderId="1" xfId="0" applyNumberFormat="1" applyFont="1" applyFill="1" applyBorder="1" applyAlignment="1">
      <x:alignment horizontal="left"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0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1" fillId="9" borderId="1" xfId="0" applyNumberFormat="1" applyFont="1" applyFill="1" applyBorder="1"/>
    <x:xf numFmtId="0" fontId="11" fillId="9" borderId="1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14" fillId="5" borderId="38" xfId="0" applyNumberFormat="1" applyFont="1" applyFill="1" applyBorder="1"/>
    <x:xf numFmtId="0" fontId="14" fillId="5" borderId="39" xfId="0" applyNumberFormat="1" applyFont="1" applyFill="1" applyBorder="1"/>
    <x:xf numFmtId="0" fontId="14" fillId="5" borderId="40" xfId="0" applyNumberFormat="1" applyFont="1" applyFill="1" applyBorder="1"/>
    <x:xf numFmtId="0" fontId="14" fillId="5" borderId="38" xfId="0" applyNumberFormat="1" applyFont="1" applyFill="1" applyBorder="1" applyAlignment="1">
      <x:alignment wrapText="1"/>
    </x:xf>
    <x:xf numFmtId="0" fontId="14" fillId="5" borderId="39" xfId="0" applyNumberFormat="1" applyFont="1" applyFill="1" applyBorder="1" applyAlignment="1">
      <x:alignment wrapText="1"/>
    </x:xf>
    <x:xf numFmtId="0" fontId="14" fillId="5" borderId="40" xfId="0" applyNumberFormat="1" applyFont="1" applyFill="1" applyBorder="1" applyAlignment="1">
      <x:alignment wrapText="1"/>
    </x:xf>
    <x:xf numFmtId="0" fontId="14" fillId="5" borderId="38" xfId="0" applyNumberFormat="1" applyFont="1" applyFill="1" applyBorder="1" applyAlignment="1">
      <x:alignment vertical="center" wrapText="1"/>
    </x:xf>
    <x:xf numFmtId="0" fontId="14" fillId="5" borderId="39" xfId="0" applyNumberFormat="1" applyFont="1" applyFill="1" applyBorder="1" applyAlignment="1">
      <x:alignment vertical="center" wrapText="1"/>
    </x:xf>
    <x:xf numFmtId="0" fontId="14" fillId="5" borderId="40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/>
    <x:xf numFmtId="0" fontId="14" fillId="5" borderId="41" xfId="0" applyNumberFormat="1" applyFont="1" applyFill="1" applyBorder="1"/>
    <x:xf numFmtId="0" fontId="14" fillId="5" borderId="42" xfId="0" applyNumberFormat="1" applyFont="1" applyFill="1" applyBorder="1"/>
    <x:xf numFmtId="0" fontId="14" fillId="5" borderId="43" xfId="0" applyNumberFormat="1" applyFont="1" applyFill="1" applyBorder="1"/>
    <x:xf numFmtId="0" fontId="14" fillId="5" borderId="41" xfId="0" applyNumberFormat="1" applyFont="1" applyFill="1" applyBorder="1" applyAlignment="1">
      <x:alignment wrapText="1"/>
    </x:xf>
    <x:xf numFmtId="0" fontId="14" fillId="5" borderId="42" xfId="0" applyNumberFormat="1" applyFont="1" applyFill="1" applyBorder="1" applyAlignment="1">
      <x:alignment wrapText="1"/>
    </x:xf>
    <x:xf numFmtId="0" fontId="14" fillId="5" borderId="43" xfId="0" applyNumberFormat="1" applyFont="1" applyFill="1" applyBorder="1" applyAlignment="1">
      <x:alignment wrapText="1"/>
    </x:xf>
    <x:xf numFmtId="0" fontId="14" fillId="5" borderId="41" xfId="0" applyNumberFormat="1" applyFont="1" applyFill="1" applyBorder="1" applyAlignment="1">
      <x:alignment vertical="center" wrapText="1"/>
    </x:xf>
    <x:xf numFmtId="0" fontId="14" fillId="5" borderId="42" xfId="0" applyNumberFormat="1" applyFont="1" applyFill="1" applyBorder="1" applyAlignment="1">
      <x:alignment vertical="center" wrapText="1"/>
    </x:xf>
    <x:xf numFmtId="0" fontId="14" fillId="5" borderId="43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1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22" xfId="0" applyNumberFormat="1" applyFont="1" applyFill="1" applyBorder="1"/>
    <x:xf numFmtId="0" fontId="16" fillId="0" borderId="23" xfId="0" applyNumberFormat="1" applyFont="1" applyFill="1" applyBorder="1"/>
    <x:xf numFmtId="0" fontId="16" fillId="0" borderId="24" xfId="0" applyNumberFormat="1" applyFont="1" applyFill="1" applyBorder="1"/>
    <x:xf numFmtId="0" fontId="16" fillId="0" borderId="25" xfId="0" applyNumberFormat="1" applyFont="1" applyFill="1" applyBorder="1"/>
    <x:xf numFmtId="0" fontId="16" fillId="0" borderId="26" xfId="0" applyNumberFormat="1" applyFont="1" applyFill="1" applyBorder="1"/>
    <x:xf numFmtId="0" fontId="16" fillId="0" borderId="27" xfId="0" applyNumberFormat="1" applyFont="1" applyFill="1" applyBorder="1"/>
    <x:xf numFmtId="0" fontId="16" fillId="0" borderId="28" xfId="0" applyNumberFormat="1" applyFont="1" applyFill="1" applyBorder="1"/>
    <x:xf numFmtId="0" fontId="16" fillId="0" borderId="29" xfId="0" applyNumberFormat="1" applyFont="1" applyFill="1" applyBorder="1"/>
    <x:xf numFmtId="0" fontId="16" fillId="0" borderId="22" xfId="0" applyNumberFormat="1" applyFont="1" applyFill="1" applyBorder="1" applyAlignment="1">
      <x:alignment wrapText="1"/>
    </x:xf>
    <x:xf numFmtId="0" fontId="16" fillId="0" borderId="23" xfId="0" applyNumberFormat="1" applyFont="1" applyFill="1" applyBorder="1" applyAlignment="1">
      <x:alignment wrapText="1"/>
    </x:xf>
    <x:xf numFmtId="0" fontId="16" fillId="0" borderId="24" xfId="0" applyNumberFormat="1" applyFont="1" applyFill="1" applyBorder="1" applyAlignment="1">
      <x:alignment wrapText="1"/>
    </x:xf>
    <x:xf numFmtId="0" fontId="16" fillId="0" borderId="25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6" fillId="0" borderId="26" xfId="0" applyNumberFormat="1" applyFont="1" applyFill="1" applyBorder="1" applyAlignment="1">
      <x:alignment wrapText="1"/>
    </x:xf>
    <x:xf numFmtId="0" fontId="16" fillId="0" borderId="27" xfId="0" applyNumberFormat="1" applyFont="1" applyFill="1" applyBorder="1" applyAlignment="1">
      <x:alignment wrapText="1"/>
    </x:xf>
    <x:xf numFmtId="0" fontId="16" fillId="0" borderId="28" xfId="0" applyNumberFormat="1" applyFont="1" applyFill="1" applyBorder="1" applyAlignment="1">
      <x:alignment wrapText="1"/>
    </x:xf>
    <x:xf numFmtId="0" fontId="16" fillId="0" borderId="29" xfId="0" applyNumberFormat="1" applyFont="1" applyFill="1" applyBorder="1" applyAlignment="1">
      <x:alignment wrapText="1"/>
    </x:xf>
    <x:xf numFmtId="0" fontId="16" fillId="0" borderId="22" xfId="0" applyNumberFormat="1" applyFont="1" applyFill="1" applyBorder="1" applyAlignment="1">
      <x:alignment vertical="top" wrapText="1"/>
    </x:xf>
    <x:xf numFmtId="0" fontId="16" fillId="0" borderId="23" xfId="0" applyNumberFormat="1" applyFont="1" applyFill="1" applyBorder="1" applyAlignment="1">
      <x:alignment vertical="top" wrapText="1"/>
    </x:xf>
    <x:xf numFmtId="0" fontId="16" fillId="0" borderId="24" xfId="0" applyNumberFormat="1" applyFont="1" applyFill="1" applyBorder="1" applyAlignment="1">
      <x:alignment vertical="top" wrapText="1"/>
    </x:xf>
    <x:xf numFmtId="0" fontId="16" fillId="0" borderId="25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0" borderId="26" xfId="0" applyNumberFormat="1" applyFont="1" applyFill="1" applyBorder="1" applyAlignment="1">
      <x:alignment vertical="top" wrapText="1"/>
    </x:xf>
    <x:xf numFmtId="0" fontId="16" fillId="0" borderId="27" xfId="0" applyNumberFormat="1" applyFont="1" applyFill="1" applyBorder="1" applyAlignment="1">
      <x:alignment vertical="top" wrapText="1"/>
    </x:xf>
    <x:xf numFmtId="0" fontId="16" fillId="0" borderId="28" xfId="0" applyNumberFormat="1" applyFont="1" applyFill="1" applyBorder="1" applyAlignment="1">
      <x:alignment vertical="top" wrapText="1"/>
    </x:xf>
    <x:xf numFmtId="0" fontId="16" fillId="0" borderId="29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/>
    <x:xf numFmtId="0" fontId="16" fillId="0" borderId="30" xfId="0" applyNumberFormat="1" applyFont="1" applyFill="1" applyBorder="1"/>
    <x:xf numFmtId="0" fontId="16" fillId="0" borderId="31" xfId="0" applyNumberFormat="1" applyFont="1" applyFill="1" applyBorder="1"/>
    <x:xf numFmtId="0" fontId="16" fillId="0" borderId="32" xfId="0" applyNumberFormat="1" applyFont="1" applyFill="1" applyBorder="1"/>
    <x:xf numFmtId="0" fontId="16" fillId="0" borderId="33" xfId="0" applyNumberFormat="1" applyFont="1" applyFill="1" applyBorder="1"/>
    <x:xf numFmtId="0" fontId="16" fillId="0" borderId="34" xfId="0" applyNumberFormat="1" applyFont="1" applyFill="1" applyBorder="1"/>
    <x:xf numFmtId="0" fontId="16" fillId="0" borderId="35" xfId="0" applyNumberFormat="1" applyFont="1" applyFill="1" applyBorder="1"/>
    <x:xf numFmtId="0" fontId="16" fillId="0" borderId="36" xfId="0" applyNumberFormat="1" applyFont="1" applyFill="1" applyBorder="1"/>
    <x:xf numFmtId="0" fontId="16" fillId="0" borderId="37" xfId="0" applyNumberFormat="1" applyFont="1" applyFill="1" applyBorder="1"/>
    <x:xf numFmtId="0" fontId="16" fillId="0" borderId="30" xfId="0" applyNumberFormat="1" applyFont="1" applyFill="1" applyBorder="1" applyAlignment="1">
      <x:alignment wrapText="1"/>
    </x:xf>
    <x:xf numFmtId="0" fontId="16" fillId="0" borderId="31" xfId="0" applyNumberFormat="1" applyFont="1" applyFill="1" applyBorder="1" applyAlignment="1">
      <x:alignment wrapText="1"/>
    </x:xf>
    <x:xf numFmtId="0" fontId="16" fillId="0" borderId="32" xfId="0" applyNumberFormat="1" applyFont="1" applyFill="1" applyBorder="1" applyAlignment="1">
      <x:alignment wrapText="1"/>
    </x:xf>
    <x:xf numFmtId="0" fontId="16" fillId="0" borderId="33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wrapText="1"/>
    </x:xf>
    <x:xf numFmtId="0" fontId="16" fillId="0" borderId="34" xfId="0" applyNumberFormat="1" applyFont="1" applyFill="1" applyBorder="1" applyAlignment="1">
      <x:alignment wrapText="1"/>
    </x:xf>
    <x:xf numFmtId="0" fontId="16" fillId="0" borderId="35" xfId="0" applyNumberFormat="1" applyFont="1" applyFill="1" applyBorder="1" applyAlignment="1">
      <x:alignment wrapText="1"/>
    </x:xf>
    <x:xf numFmtId="0" fontId="16" fillId="0" borderId="36" xfId="0" applyNumberFormat="1" applyFont="1" applyFill="1" applyBorder="1" applyAlignment="1">
      <x:alignment wrapText="1"/>
    </x:xf>
    <x:xf numFmtId="0" fontId="16" fillId="0" borderId="37" xfId="0" applyNumberFormat="1" applyFont="1" applyFill="1" applyBorder="1" applyAlignment="1">
      <x:alignment wrapText="1"/>
    </x:xf>
    <x:xf numFmtId="0" fontId="16" fillId="0" borderId="30" xfId="0" applyNumberFormat="1" applyFont="1" applyFill="1" applyBorder="1" applyAlignment="1">
      <x:alignment vertical="top" wrapText="1"/>
    </x:xf>
    <x:xf numFmtId="0" fontId="16" fillId="0" borderId="31" xfId="0" applyNumberFormat="1" applyFont="1" applyFill="1" applyBorder="1" applyAlignment="1">
      <x:alignment vertical="top" wrapText="1"/>
    </x:xf>
    <x:xf numFmtId="0" fontId="16" fillId="0" borderId="32" xfId="0" applyNumberFormat="1" applyFont="1" applyFill="1" applyBorder="1" applyAlignment="1">
      <x:alignment vertical="top" wrapText="1"/>
    </x:xf>
    <x:xf numFmtId="0" fontId="16" fillId="0" borderId="33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6" fillId="0" borderId="34" xfId="0" applyNumberFormat="1" applyFont="1" applyFill="1" applyBorder="1" applyAlignment="1">
      <x:alignment vertical="top" wrapText="1"/>
    </x:xf>
    <x:xf numFmtId="0" fontId="16" fillId="0" borderId="35" xfId="0" applyNumberFormat="1" applyFont="1" applyFill="1" applyBorder="1" applyAlignment="1">
      <x:alignment vertical="top" wrapText="1"/>
    </x:xf>
    <x:xf numFmtId="0" fontId="16" fillId="0" borderId="36" xfId="0" applyNumberFormat="1" applyFont="1" applyFill="1" applyBorder="1" applyAlignment="1">
      <x:alignment vertical="top" wrapText="1"/>
    </x:xf>
    <x:xf numFmtId="0" fontId="16" fillId="0" borderId="37" xfId="0" applyNumberFormat="1" applyFont="1" applyFill="1" applyBorder="1" applyAlignment="1">
      <x:alignment vertical="top" wrapText="1"/>
    </x:xf>
    <x:xf numFmtId="0" fontId="16" fillId="3" borderId="23" xfId="0" applyNumberFormat="1" applyFont="1" applyFill="1" applyBorder="1" applyAlignment="1">
      <x:alignment vertical="top" wrapText="1"/>
    </x:xf>
    <x:xf numFmtId="0" fontId="16" fillId="3" borderId="0" xfId="0" applyNumberFormat="1" applyFont="1" applyFill="1" applyBorder="1" applyAlignment="1">
      <x:alignment vertical="top" wrapText="1"/>
    </x:xf>
    <x:xf numFmtId="0" fontId="16" fillId="3" borderId="28" xfId="0" applyNumberFormat="1" applyFont="1" applyFill="1" applyBorder="1" applyAlignment="1">
      <x:alignment vertical="top" wrapText="1"/>
    </x:xf>
    <x:xf numFmtId="0" fontId="17" fillId="3" borderId="23" xfId="0" applyNumberFormat="1" applyFont="1" applyFill="1" applyBorder="1" applyAlignment="1">
      <x:alignment vertical="top" wrapText="1"/>
    </x:xf>
    <x:xf numFmtId="0" fontId="17" fillId="3" borderId="0" xfId="0" applyNumberFormat="1" applyFont="1" applyFill="1" applyBorder="1" applyAlignment="1">
      <x:alignment vertical="top" wrapText="1"/>
    </x:xf>
    <x:xf numFmtId="0" fontId="17" fillId="3" borderId="28" xfId="0" applyNumberFormat="1" applyFont="1" applyFill="1" applyBorder="1" applyAlignment="1">
      <x:alignment vertical="top" wrapText="1"/>
    </x:xf>
    <x:xf numFmtId="0" fontId="16" fillId="3" borderId="31" xfId="0" applyNumberFormat="1" applyFont="1" applyFill="1" applyBorder="1" applyAlignment="1">
      <x:alignment vertical="top" wrapText="1"/>
    </x:xf>
    <x:xf numFmtId="0" fontId="16" fillId="3" borderId="1" xfId="0" applyNumberFormat="1" applyFont="1" applyFill="1" applyBorder="1" applyAlignment="1">
      <x:alignment vertical="top" wrapText="1"/>
    </x:xf>
    <x:xf numFmtId="0" fontId="16" fillId="3" borderId="36" xfId="0" applyNumberFormat="1" applyFont="1" applyFill="1" applyBorder="1" applyAlignment="1">
      <x:alignment vertical="top" wrapText="1"/>
    </x:xf>
    <x:xf numFmtId="0" fontId="17" fillId="3" borderId="31" xfId="0" applyNumberFormat="1" applyFont="1" applyFill="1" applyBorder="1" applyAlignment="1">
      <x:alignment vertical="top" wrapText="1"/>
    </x:xf>
    <x:xf numFmtId="0" fontId="17" fillId="3" borderId="1" xfId="0" applyNumberFormat="1" applyFont="1" applyFill="1" applyBorder="1" applyAlignment="1">
      <x:alignment vertical="top" wrapText="1"/>
    </x:xf>
    <x:xf numFmtId="0" fontId="17" fillId="3" borderId="36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bd682e1634096" /><Relationship Type="http://schemas.openxmlformats.org/officeDocument/2006/relationships/theme" Target="/xl/theme/theme1.xml" Id="Rf13f9ef5247c4b64" /><Relationship Type="http://schemas.openxmlformats.org/officeDocument/2006/relationships/sharedStrings" Target="/xl/sharedStrings.xml" Id="R6d8e7b3a4c784dc8" /><Relationship Type="http://schemas.openxmlformats.org/officeDocument/2006/relationships/worksheet" Target="/xl/worksheets/sheet1.xml" Id="R5fe8ff2bcf3f4ec7" /><Relationship Type="http://schemas.openxmlformats.org/officeDocument/2006/relationships/worksheet" Target="/xl/worksheets/sheet2.xml" Id="Rc5db0fd0bfc648cf" /><Relationship Type="http://schemas.openxmlformats.org/officeDocument/2006/relationships/worksheet" Target="/xl/worksheets/sheet3.xml" Id="Rc8d5e79134734f2a" /><Relationship Type="http://schemas.openxmlformats.org/officeDocument/2006/relationships/worksheet" Target="/xl/worksheets/sheet4.xml" Id="Rd2c9706ada9245df" /><Relationship Type="http://schemas.openxmlformats.org/officeDocument/2006/relationships/worksheet" Target="/xl/worksheets/sheet5.xml" Id="R9cb4e5966a914e0f" /><Relationship Type="http://schemas.openxmlformats.org/officeDocument/2006/relationships/worksheet" Target="/xl/worksheets/sheet6.xml" Id="R3df637ff30ed48ea" /><Relationship Type="http://schemas.openxmlformats.org/officeDocument/2006/relationships/worksheet" Target="/xl/worksheets/sheet7.xml" Id="Rd9be4a2bad9a4e30" /><Relationship Type="http://schemas.openxmlformats.org/officeDocument/2006/relationships/worksheet" Target="/xl/worksheets/sheet8.xml" Id="R4abc3a96962a4649" /><Relationship Type="http://schemas.openxmlformats.org/officeDocument/2006/relationships/worksheet" Target="/xl/worksheets/sheet9.xml" Id="Rede3bc74443d432c" /><Relationship Type="http://schemas.openxmlformats.org/officeDocument/2006/relationships/worksheet" Target="/xl/worksheets/sheet10.xml" Id="R247c055b0df54efc" /></Relationships>
</file>

<file path=xl/tables/table1.xml><?xml version="1.0" encoding="utf-8"?>
<x:table xmlns:x="http://schemas.openxmlformats.org/spreadsheetml/2006/main" id="1" name="PriorityTargetsTable" displayName="PriorityTargetsTable" ref="A1:R26" headerRowCount="1">
  <x:tableColumns count="18">
    <x:tableColumn id="1" name="优先级"/>
    <x:tableColumn id="2" name="疾病类别"/>
    <x:tableColumn id="3" name="疾病/适应症"/>
    <x:tableColumn id="4" name="靶点名称"/>
    <x:tableColumn id="5" name="靶点ID/基因"/>
    <x:tableColumn id="6" name="Open Targets/Ensembl ID"/>
    <x:tableColumn id="7" name="UniProt"/>
    <x:tableColumn id="8" name="物种"/>
    <x:tableColumn id="9" name="本地状态"/>
    <x:tableColumn id="10" name="建议动作"/>
    <x:tableColumn id="11" name="代表PDB"/>
    <x:tableColumn id="12" name="备选PDB"/>
    <x:tableColumn id="13" name="结构范围/形态"/>
    <x:tableColumn id="14" name="推荐mmCIF下载链接"/>
    <x:tableColumn id="15" name="兼容PDB下载链接"/>
    <x:tableColumn id="16" name="RCSB页面"/>
    <x:tableColumn id="17" name="AlphaFold API"/>
    <x:tableColumn id="18" name="说明/风险"/>
  </x:tableColumns>
  <x:tableStyleInfo name="TableStyleMedium2" showRowStripes="1"/>
</x:table>
</file>

<file path=xl/tables/table2.xml><?xml version="1.0" encoding="utf-8"?>
<x:table xmlns:x="http://schemas.openxmlformats.org/spreadsheetml/2006/main" id="2" name="DownloadManifestTable" displayName="DownloadManifestTable" ref="A1:M23" headerRowCount="1">
  <x:tableColumns count="13">
    <x:tableColumn id="1" name="candidate_rank"/>
    <x:tableColumn id="2" name="structure_source"/>
    <x:tableColumn id="3" name="structure_id"/>
    <x:tableColumn id="4" name="download_url"/>
    <x:tableColumn id="5" name="filename"/>
    <x:tableColumn id="6" name="priority"/>
    <x:tableColumn id="7" name="enabled_default"/>
    <x:tableColumn id="8" name="structure_scope"/>
    <x:tableColumn id="9" name="review_note"/>
    <x:tableColumn id="10" name="target_id"/>
    <x:tableColumn id="11" name="target_name"/>
    <x:tableColumn id="12" name="top_indications"/>
    <x:tableColumn id="13" name="requires_scope_review"/>
  </x:tableColumns>
  <x:tableStyleInfo name="TableStyleMedium2" showRowStripes="1"/>
</x:table>
</file>

<file path=xl/tables/table3.xml><?xml version="1.0" encoding="utf-8"?>
<x:table xmlns:x="http://schemas.openxmlformats.org/spreadsheetml/2006/main" id="3" name="RoutePromotionsTable" displayName="RoutePromotionsTable" ref="A1:I12" headerRowCount="1">
  <x:tableColumns count="9">
    <x:tableColumn id="1" name="官方基因/靶点ID"/>
    <x:tableColumn id="2" name="靶点名称"/>
    <x:tableColumn id="3" name="别名"/>
    <x:tableColumn id="4" name="物种"/>
    <x:tableColumn id="5" name="本地PDB"/>
    <x:tableColumn id="6" name="本地文件"/>
    <x:tableColumn id="7" name="建议动作"/>
    <x:tableColumn id="8" name="下载动作"/>
    <x:tableColumn id="9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AssetOnlyDetailsTable" displayName="AssetOnlyDetailsTable" ref="A1:H38" headerRowCount="1">
  <x:tableColumns count="8">
    <x:tableColumn id="1" name="target"/>
    <x:tableColumn id="2" name="gene"/>
    <x:tableColumn id="3" name="aliases"/>
    <x:tableColumn id="4" name="organism"/>
    <x:tableColumn id="5" name="pdb_id"/>
    <x:tableColumn id="6" name="filename"/>
    <x:tableColumn id="7" name="route_status"/>
    <x:tableColumn id="8" name="suggested_action"/>
  </x:tableColumns>
  <x:tableStyleInfo name="TableStyleMedium2" showRowStripes="1"/>
</x:table>
</file>

<file path=xl/tables/table5.xml><?xml version="1.0" encoding="utf-8"?>
<x:table xmlns:x="http://schemas.openxmlformats.org/spreadsheetml/2006/main" id="5" name="DiseaseCorrectionsTable" displayName="DiseaseCorrectionsTable" ref="A1:E12" headerRowCount="1">
  <x:tableColumns count="5">
    <x:tableColumn id="1" name="疾病/适应症"/>
    <x:tableColumn id="2" name="报告原始靶点"/>
    <x:tableColumn id="3" name="规范化靶点ID"/>
    <x:tableColumn id="4" name="处理意见"/>
    <x:tableColumn id="5" name="关键纠错"/>
  </x:tableColumns>
  <x:tableStyleInfo name="TableStyleMedium2" showRowStripes="1"/>
</x:table>
</file>

<file path=xl/tables/table6.xml><?xml version="1.0" encoding="utf-8"?>
<x:table xmlns:x="http://schemas.openxmlformats.org/spreadsheetml/2006/main" id="6" name="CurrentTargetsTable" displayName="CurrentTargetsTable" ref="A1:I270" headerRowCount="1">
  <x:tableColumns count="9">
    <x:tableColumn id="1" name="#"/>
    <x:tableColumn id="2" name="靶点名称 (promptLabel)"/>
    <x:tableColumn id="3" name="target"/>
    <x:tableColumn id="4" name="gene"/>
    <x:tableColumn id="5" name="别名"/>
    <x:tableColumn id="6" name="物种"/>
    <x:tableColumn id="7" name="抗体格式"/>
    <x:tableColumn id="8" name="PDB文件数"/>
    <x:tableColumn id="9" name="结构来源"/>
  </x:tableColumns>
  <x:tableStyleInfo name="TableStyleMedium2" showRowStripes="1"/>
</x:table>
</file>

<file path=xl/tables/table7.xml><?xml version="1.0" encoding="utf-8"?>
<x:table xmlns:x="http://schemas.openxmlformats.org/spreadsheetml/2006/main" id="7" name="PathogenSeedTable" displayName="PathogenSeedTable" ref="A1:J10" headerRowCount="1">
  <x:tableColumns count="10">
    <x:tableColumn id="1" name="target_id"/>
    <x:tableColumn id="2" name="target_name"/>
    <x:tableColumn id="3" name="uniprot"/>
    <x:tableColumn id="4" name="organism"/>
    <x:tableColumn id="5" name="disease_indications"/>
    <x:tableColumn id="6" name="priority"/>
    <x:tableColumn id="7" name="preferred_pdb"/>
    <x:tableColumn id="8" name="preferred_scope"/>
    <x:tableColumn id="9" name="action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FieldDictionaryTable" displayName="FieldDictionaryTable" ref="A1:C13" headerRowCount="1">
  <x:tableColumns count="3">
    <x:tableColumn id="1" name="字段"/>
    <x:tableColumn id="2" name="含义"/>
    <x:tableColumn id="3" name="要求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4:H10" headerRowCount="1">
  <x:tableColumns count="8">
    <x:tableColumn id="1" name="模块"/>
    <x:tableColumn id="2" name="权威来源"/>
    <x:tableColumn id="3" name="URL/路径"/>
    <x:tableColumn id="4" name="用途"/>
    <x:tableColumn id="5" name="更新策略"/>
    <x:tableColumn id="6" name="关键限制"/>
    <x:tableColumn id="7" name="建议质量等级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4d55a3f8ff4a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896a6c4aeb44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21e4c385c1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b1e0e8face41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7976b5fe64e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f56a39c36b4f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6e50ae5a0545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20ae1714f245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5cd0428c299429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14" hidden="0" customWidth="1"/>
    <x:col min="9" max="9" width="14" hidden="0" customWidth="1"/>
    <x:col min="10" max="10" width="14" hidden="0" customWidth="1"/>
    <x:col min="7" max="7" width="14" hidden="0" customWidth="1"/>
  </x:cols>
  <x:sheetData>
    <x:row r="1" ht="28" customHeight="1">
      <x:c r="A1" s="5" t="str">
        <x:v>ZoonoAI 靶点结构扩充与 PDB 下载清单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8" customHeight="1">
      <x:c r="A3" s="13" t="str">
        <x:v>本地快照：2026-07-30｜主干：Open Targets 26.06｜结构：RCSB mmCIF 优先，AlphaFold 回退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 ht="24" customHeight="1">
      <x:c r="A5" s="21" t="str">
        <x:v>本地正式靶点</x:v>
      </x:c>
      <x:c r="B5" s="21"/>
      <x:c r="C5" s="45" t="str">
        <x:v>首批补库条目</x:v>
      </x:c>
      <x:c r="D5" s="45"/>
      <x:c r="E5" s="66" t="str">
        <x:v>默认下载结构</x:v>
      </x:c>
      <x:c r="F5" s="66"/>
      <x:c r="G5" s="87" t="str">
        <x:v>路由提升</x:v>
      </x:c>
      <x:c r="H5" s="87"/>
      <x:c r="I5" s="109" t="str">
        <x:v>无实验PDB</x:v>
      </x:c>
      <x:c r="J5" s="109"/>
    </x:row>
    <x:row r="6" ht="34" customHeight="1">
      <x:c r="A6" s="32" t="n">
        <x:f>COUNTA('现有本地269'!A2:A270)</x:f>
        <x:v>269</x:v>
      </x:c>
      <x:c r="B6" s="33"/>
      <x:c r="C6" s="55" t="n">
        <x:f>COUNTA('优先补库清单'!A2:A26)</x:f>
        <x:v>25</x:v>
      </x:c>
      <x:c r="D6" s="56"/>
      <x:c r="E6" s="75" t="n">
        <x:f>COUNTIF('下载清单_P0'!G2:G23,"YES")</x:f>
        <x:v>21</x:v>
      </x:c>
      <x:c r="F6" s="76"/>
      <x:c r="G6" s="97" t="n">
        <x:f>COUNTA('需提升路由_唯一'!A2:A12)</x:f>
        <x:v>11</x:v>
      </x:c>
      <x:c r="H6" s="98"/>
      <x:c r="I6" s="119" t="n">
        <x:f>COUNTIF('优先补库清单'!J2:J26,"NO_EXPERIMENTAL_PDB")</x:f>
        <x:v>1</x:v>
      </x:c>
      <x:c r="J6" s="120"/>
    </x:row>
    <x:row r="8" ht="30" customHeight="1">
      <x:c r="A8" s="130" t="str">
        <x:v>本次可直接执行的结果</x:v>
      </x:c>
      <x:c r="B8" s="130"/>
      <x:c r="C8" s="130"/>
      <x:c r="D8" s="130"/>
      <x:c r="E8" s="130"/>
      <x:c r="F8" s="130"/>
      <x:c r="H8" s="192" t="str">
        <x:v>质量控制红线</x:v>
      </x:c>
      <x:c r="I8" s="192"/>
      <x:c r="J8" s="192"/>
    </x:row>
    <x:row r="9" ht="30" customHeight="1">
      <x:c r="A9" s="135" t="str">
        <x:v>项目</x:v>
      </x:c>
      <x:c r="B9" s="135" t="str">
        <x:v>数量/结论</x:v>
      </x:c>
      <x:c r="C9" s="135" t="str">
        <x:v>执行建议</x:v>
      </x:c>
      <x:c r="D9" s="135"/>
      <x:c r="E9" s="135"/>
      <x:c r="F9" s="135"/>
      <x:c r="H9" s="197" t="str">
        <x:v>1</x:v>
      </x:c>
      <x:c r="I9" s="156" t="str">
        <x:v>mmCIF 为规范格式；legacy PDB 只作兼容</x:v>
      </x:c>
      <x:c r="J9" s="158" t="str"/>
    </x:row>
    <x:row r="10" ht="30" customHeight="1">
      <x:c r="A10" s="156" t="str">
        <x:v>去重结构下载</x:v>
      </x:c>
      <x:c r="B10" s="157" t="str">
        <x:v>22 个结构；默认 21，BIRC5 可选</x:v>
      </x:c>
      <x:c r="C10" s="156" t="str">
        <x:v>先运行 immediate_download_manifest.csv</x:v>
      </x:c>
      <x:c r="D10" s="157"/>
      <x:c r="E10" s="157"/>
      <x:c r="F10" s="158"/>
      <x:c r="H10" s="197" t="str">
        <x:v>2</x:v>
      </x:c>
      <x:c r="I10" s="159" t="str">
        <x:v>下载成功不等于抗原范围正确，必须核验链/残基</x:v>
      </x:c>
      <x:c r="J10" s="161" t="str"/>
    </x:row>
    <x:row r="11" ht="30" customHeight="1">
      <x:c r="A11" s="159" t="str">
        <x:v>本地仅缺路由</x:v>
      </x:c>
      <x:c r="B11" s="160" t="str">
        <x:v>11 个唯一靶点</x:v>
      </x:c>
      <x:c r="C11" s="159" t="str">
        <x:v>PROMOTE_ROUTE，禁止重复下载</x:v>
      </x:c>
      <x:c r="D11" s="160"/>
      <x:c r="E11" s="160"/>
      <x:c r="F11" s="161"/>
      <x:c r="H11" s="197" t="str">
        <x:v>3</x:v>
      </x:c>
      <x:c r="I11" s="159" t="str">
        <x:v>AlphaFold 结构不得标为实验结构</x:v>
      </x:c>
      <x:c r="J11" s="161" t="str"/>
    </x:row>
    <x:row r="12" ht="30" customHeight="1">
      <x:c r="A12" s="159" t="str">
        <x:v>未覆盖疾病纠错</x:v>
      </x:c>
      <x:c r="B12" s="160" t="str">
        <x:v>11 类</x:v>
      </x:c>
      <x:c r="C12" s="159" t="str">
        <x:v>按“疾病缺口纠错”页修正规范名与范围</x:v>
      </x:c>
      <x:c r="D12" s="160"/>
      <x:c r="E12" s="160"/>
      <x:c r="F12" s="161"/>
      <x:c r="H12" s="197" t="str">
        <x:v>4</x:v>
      </x:c>
      <x:c r="I12" s="159" t="str">
        <x:v>表位肽-HLA 复合物不得冒充完整抗原</x:v>
      </x:c>
      <x:c r="J12" s="161" t="str"/>
    </x:row>
    <x:row r="13" ht="30" customHeight="1">
      <x:c r="A13" s="159" t="str">
        <x:v>无可靠实验结构</x:v>
      </x:c>
      <x:c r="B13" s="160" t="str">
        <x:v>PfHRP2</x:v>
      </x:c>
      <x:c r="C13" s="159" t="str">
        <x:v>保留序列/表位，不生成伪 PDB</x:v>
      </x:c>
      <x:c r="D13" s="160"/>
      <x:c r="E13" s="160"/>
      <x:c r="F13" s="161"/>
      <x:c r="H13" s="197" t="str">
        <x:v>5</x:v>
      </x:c>
      <x:c r="I13" s="159" t="str">
        <x:v>病原体株系/型别不得混用</x:v>
      </x:c>
      <x:c r="J13" s="161" t="str"/>
    </x:row>
    <x:row r="14" ht="30" customHeight="1">
      <x:c r="A14" s="162" t="str">
        <x:v>病原体抗原</x:v>
      </x:c>
      <x:c r="B14" s="163" t="str">
        <x:v>9 个首批条目</x:v>
      </x:c>
      <x:c r="C14" s="162" t="str">
        <x:v>与 Open Targets 人类靶点主干分流</x:v>
      </x:c>
      <x:c r="D14" s="163"/>
      <x:c r="E14" s="163"/>
      <x:c r="F14" s="164"/>
      <x:c r="H14" s="197" t="str">
        <x:v>6</x:v>
      </x:c>
      <x:c r="I14" s="162" t="str">
        <x:v>结构域、突变体、融合标签需单独标注</x:v>
      </x:c>
      <x:c r="J14" s="164" t="str"/>
    </x:row>
    <x:row r="15" ht="30" customHeight="1"/>
    <x:row r="16" ht="30" customHeight="1">
      <x:c r="A16" s="201" t="str">
        <x:v>Codex 执行顺序</x:v>
      </x:c>
      <x:c r="B16" s="201"/>
      <x:c r="C16" s="201"/>
      <x:c r="D16" s="201"/>
      <x:c r="E16" s="201"/>
      <x:c r="F16" s="201"/>
      <x:c r="G16" s="201"/>
      <x:c r="H16" s="201"/>
      <x:c r="I16" s="201"/>
      <x:c r="J16" s="201"/>
    </x:row>
    <x:row r="17" ht="30" customHeight="1">
      <x:c r="A17" s="205" t="str">
        <x:v>1</x:v>
      </x:c>
      <x:c r="B17" s="210" t="str">
        <x:v>立即下载</x:v>
      </x:c>
      <x:c r="C17" s="220" t="str">
        <x:v>python download_structures.py --manifest immediate_download_manifest.csv --outdir downloads/immediate_reviewed --workers 6</x:v>
      </x:c>
      <x:c r="D17" s="221" t="str"/>
      <x:c r="E17" s="221" t="str"/>
      <x:c r="F17" s="221" t="str"/>
      <x:c r="G17" s="221" t="str"/>
      <x:c r="H17" s="221" t="str"/>
      <x:c r="I17" s="221" t="str"/>
      <x:c r="J17" s="222" t="str"/>
    </x:row>
    <x:row r="18" ht="30" customHeight="1">
      <x:c r="A18" s="205" t="str">
        <x:v>2</x:v>
      </x:c>
      <x:c r="B18" s="210" t="str">
        <x:v>生成全量人类靶点</x:v>
      </x:c>
      <x:c r="C18" s="220" t="str">
        <x:v>python build_full_target_manifest.py --local-md input_snapshot/local-targets-export.md --release 26.06 --outdir generated/full_human_targets --workers 6</x:v>
      </x:c>
      <x:c r="D18" s="221" t="str"/>
      <x:c r="E18" s="221" t="str"/>
      <x:c r="F18" s="221" t="str"/>
      <x:c r="G18" s="221" t="str"/>
      <x:c r="H18" s="221" t="str"/>
      <x:c r="I18" s="221" t="str"/>
      <x:c r="J18" s="222" t="str"/>
    </x:row>
    <x:row r="19" ht="30" customHeight="1">
      <x:c r="A19" s="205" t="str">
        <x:v>3</x:v>
      </x:c>
      <x:c r="B19" s="210" t="str">
        <x:v>下载全量 rank-1</x:v>
      </x:c>
      <x:c r="C19" s="220" t="str">
        <x:v>python download_structures.py --manifest generated/full_human_targets/download_manifest.csv --outdir downloads/full_human_rank1 --max-rank 1 --sources RCSB</x:v>
      </x:c>
      <x:c r="D19" s="221" t="str"/>
      <x:c r="E19" s="221" t="str"/>
      <x:c r="F19" s="221" t="str"/>
      <x:c r="G19" s="221" t="str"/>
      <x:c r="H19" s="221" t="str"/>
      <x:c r="I19" s="221" t="str"/>
      <x:c r="J19" s="222" t="str"/>
    </x:row>
    <x:row r="20" ht="30" customHeight="1">
      <x:c r="A20" s="205" t="str">
        <x:v>4</x:v>
      </x:c>
      <x:c r="B20" s="210" t="str">
        <x:v>解析病原体种子</x:v>
      </x:c>
      <x:c r="C20" s="220" t="str">
        <x:v>python resolve_external_targets.py --input pathogen_antigen_seed.csv --outdir generated/pathogen_antigen_seed --workers 6</x:v>
      </x:c>
      <x:c r="D20" s="221" t="str"/>
      <x:c r="E20" s="221" t="str"/>
      <x:c r="F20" s="221" t="str"/>
      <x:c r="G20" s="221" t="str"/>
      <x:c r="H20" s="221" t="str"/>
      <x:c r="I20" s="221" t="str"/>
      <x:c r="J20" s="222" t="str"/>
    </x:row>
    <x:row r="21" ht="30" customHeight="1"/>
    <x:row r="22" ht="30" customHeight="1">
      <x:c r="A22" s="128" t="str">
        <x:v>权威来源（完整链接见“来源与口径”页与运行说明）</x:v>
      </x:c>
      <x:c r="B22" s="128"/>
      <x:c r="C22" s="128"/>
      <x:c r="D22" s="128"/>
      <x:c r="E22" s="128"/>
      <x:c r="F22" s="128"/>
      <x:c r="G22" s="128"/>
      <x:c r="H22" s="128"/>
      <x:c r="I22" s="128"/>
      <x:c r="J22" s="128"/>
    </x:row>
    <x:row r="23" ht="30" customHeight="1">
      <x:c r="A23" s="234" t="str">
        <x:v>Open Targets 26.06</x:v>
      </x:c>
      <x:c r="B23" s="238" t="str">
        <x:v>https://blog.opentargets.org/26.06/</x:v>
      </x:c>
      <x:c r="C23" s="238" t="str"/>
      <x:c r="D23" s="238" t="str"/>
      <x:c r="E23" s="238" t="str"/>
      <x:c r="F23" s="238" t="str"/>
      <x:c r="G23" s="238" t="str"/>
      <x:c r="H23" s="238" t="str"/>
      <x:c r="I23" s="238" t="str"/>
      <x:c r="J23" s="238" t="str"/>
    </x:row>
    <x:row r="24" ht="30" customHeight="1">
      <x:c r="A24" s="234" t="str">
        <x:v>Open Targets 公共数据</x:v>
      </x:c>
      <x:c r="B24" s="238" t="str">
        <x:v>s3://open-targets-public-data-releases/platform/26.06/output</x:v>
      </x:c>
      <x:c r="C24" s="238" t="str"/>
      <x:c r="D24" s="238" t="str"/>
      <x:c r="E24" s="238" t="str"/>
      <x:c r="F24" s="238" t="str"/>
      <x:c r="G24" s="238" t="str"/>
      <x:c r="H24" s="238" t="str"/>
      <x:c r="I24" s="238" t="str"/>
      <x:c r="J24" s="238" t="str"/>
    </x:row>
    <x:row r="25" ht="30" customHeight="1">
      <x:c r="A25" s="234" t="str">
        <x:v>RCSB Search API</x:v>
      </x:c>
      <x:c r="B25" s="238" t="str">
        <x:v>https://search.rcsb.org/</x:v>
      </x:c>
      <x:c r="C25" s="238" t="str"/>
      <x:c r="D25" s="238" t="str"/>
      <x:c r="E25" s="238" t="str"/>
      <x:c r="F25" s="238" t="str"/>
      <x:c r="G25" s="238" t="str"/>
      <x:c r="H25" s="238" t="str"/>
      <x:c r="I25" s="238" t="str"/>
      <x:c r="J25" s="238" t="str"/>
    </x:row>
    <x:row r="26" ht="30" customHeight="1">
      <x:c r="A26" s="234" t="str">
        <x:v>RCSB 下载</x:v>
      </x:c>
      <x:c r="B26" s="238" t="str">
        <x:v>https://files.rcsb.org/download/</x:v>
      </x:c>
      <x:c r="C26" s="238" t="str"/>
      <x:c r="D26" s="238" t="str"/>
      <x:c r="E26" s="238" t="str"/>
      <x:c r="F26" s="238" t="str"/>
      <x:c r="G26" s="238" t="str"/>
      <x:c r="H26" s="238" t="str"/>
      <x:c r="I26" s="238" t="str"/>
      <x:c r="J26" s="238" t="str"/>
    </x:row>
    <x:row r="27" ht="30" customHeight="1">
      <x:c r="A27" s="234" t="str">
        <x:v>AlphaFold DB API</x:v>
      </x:c>
      <x:c r="B27" s="238" t="str">
        <x:v>https://alphafold.ebi.ac.uk/api/prediction/{UniProt}</x:v>
      </x:c>
      <x:c r="C27" s="238" t="str"/>
      <x:c r="D27" s="238" t="str"/>
      <x:c r="E27" s="238" t="str"/>
      <x:c r="F27" s="238" t="str"/>
      <x:c r="G27" s="238" t="str"/>
      <x:c r="H27" s="238" t="str"/>
      <x:c r="I27" s="238" t="str"/>
      <x:c r="J27" s="238" t="str"/>
    </x:row>
    <x:row r="28" ht="30" customHeight="1">
      <x:c r="A28" s="234" t="str">
        <x:v>IEDB 全量导出</x:v>
      </x:c>
      <x:c r="B28" s="238" t="str">
        <x:v>https://www.iedb.org/database_export_v3.php</x:v>
      </x:c>
      <x:c r="C28" s="238" t="str"/>
      <x:c r="D28" s="238" t="str"/>
      <x:c r="E28" s="238" t="str"/>
      <x:c r="F28" s="238" t="str"/>
      <x:c r="G28" s="238" t="str"/>
      <x:c r="H28" s="238" t="str"/>
      <x:c r="I28" s="238" t="str"/>
      <x:c r="J28" s="238" t="str"/>
    </x:row>
  </x:sheetData>
  <x:mergeCells>
    <x:mergeCell ref="A1:J2"/>
    <x:mergeCell ref="A3:J3"/>
    <x:mergeCell ref="A8:F8"/>
    <x:mergeCell ref="H8:J8"/>
    <x:mergeCell ref="A16:J16"/>
    <x:mergeCell ref="C17:J17"/>
    <x:mergeCell ref="C18:J18"/>
    <x:mergeCell ref="C19:J19"/>
    <x:mergeCell ref="C20:J20"/>
    <x:mergeCell ref="A22:J22"/>
    <x:mergeCell ref="B23:J23"/>
    <x:mergeCell ref="B24:J24"/>
    <x:mergeCell ref="B25:J25"/>
    <x:mergeCell ref="B26:J26"/>
    <x:mergeCell ref="B27:J27"/>
    <x:mergeCell ref="B28:J28"/>
    <x:mergeCell ref="A5:B5"/>
    <x:mergeCell ref="A6:B6"/>
    <x:mergeCell ref="C5:D5"/>
    <x:mergeCell ref="C6:D6"/>
    <x:mergeCell ref="E5:F5"/>
    <x:mergeCell ref="E6:F6"/>
    <x:mergeCell ref="G5:H5"/>
    <x:mergeCell ref="G6:H6"/>
    <x:mergeCell ref="I5:J5"/>
    <x:mergeCell ref="I6:J6"/>
    <x:mergeCell ref="I9:J9"/>
    <x:mergeCell ref="I10:J10"/>
    <x:mergeCell ref="I11:J11"/>
    <x:mergeCell ref="I12:J12"/>
    <x:mergeCell ref="I13:J13"/>
    <x:mergeCell ref="I14:J14"/>
    <x:mergeCell ref="C9:F9"/>
    <x:mergeCell ref="C10:F10"/>
    <x:mergeCell ref="C11:F11"/>
    <x:mergeCell ref="C12:F12"/>
    <x:mergeCell ref="C13:F13"/>
    <x:mergeCell ref="C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24" hidden="0" customWidth="1"/>
    <x:col min="5" max="5" width="24" hidden="0" customWidth="1"/>
    <x:col min="6" max="6" width="23" hidden="0" customWidth="1"/>
    <x:col min="7" max="7" width="13" hidden="0" customWidth="1"/>
    <x:col min="8" max="8" width="22" hidden="0" customWidth="1"/>
    <x:col min="9" max="9" width="12" hidden="0" customWidth="1"/>
    <x:col min="10" max="10" width="24" hidden="0" customWidth="1"/>
    <x:col min="11" max="11" width="12" hidden="0" customWidth="1"/>
    <x:col min="12" max="12" width="16" hidden="0" customWidth="1"/>
    <x:col min="13" max="13" width="28" hidden="0" customWidth="1"/>
    <x:col min="14" max="14" width="38" hidden="0" customWidth="1"/>
    <x:col min="15" max="15" width="38" hidden="0" customWidth="1"/>
    <x:col min="16" max="16" width="32" hidden="0" customWidth="1"/>
    <x:col min="17" max="17" width="38" hidden="0" customWidth="1"/>
    <x:col min="18" max="18" width="36" hidden="0" customWidth="1"/>
  </x:cols>
  <x:sheetData>
    <x:row r="1" ht="34" customHeight="1">
      <x:c r="A1" s="243" t="str">
        <x:v>优先级</x:v>
      </x:c>
      <x:c r="B1" s="243" t="str">
        <x:v>疾病类别</x:v>
      </x:c>
      <x:c r="C1" s="243" t="str">
        <x:v>疾病/适应症</x:v>
      </x:c>
      <x:c r="D1" s="243" t="str">
        <x:v>靶点名称</x:v>
      </x:c>
      <x:c r="E1" s="243" t="str">
        <x:v>靶点ID/基因</x:v>
      </x:c>
      <x:c r="F1" s="243" t="str">
        <x:v>Open Targets/Ensembl ID</x:v>
      </x:c>
      <x:c r="G1" s="243" t="str">
        <x:v>UniProt</x:v>
      </x:c>
      <x:c r="H1" s="243" t="str">
        <x:v>物种</x:v>
      </x:c>
      <x:c r="I1" s="243" t="str">
        <x:v>本地状态</x:v>
      </x:c>
      <x:c r="J1" s="243" t="str">
        <x:v>建议动作</x:v>
      </x:c>
      <x:c r="K1" s="243" t="str">
        <x:v>代表PDB</x:v>
      </x:c>
      <x:c r="L1" s="243" t="str">
        <x:v>备选PDB</x:v>
      </x:c>
      <x:c r="M1" s="243" t="str">
        <x:v>结构范围/形态</x:v>
      </x:c>
      <x:c r="N1" s="243" t="str">
        <x:v>推荐mmCIF下载链接</x:v>
      </x:c>
      <x:c r="O1" s="243" t="str">
        <x:v>兼容PDB下载链接</x:v>
      </x:c>
      <x:c r="P1" s="243" t="str">
        <x:v>RCSB页面</x:v>
      </x:c>
      <x:c r="Q1" s="243" t="str">
        <x:v>AlphaFold API</x:v>
      </x:c>
      <x:c r="R1" s="243" t="str">
        <x:v>说明/风险</x:v>
      </x:c>
    </x:row>
    <x:row r="2" ht="42" customHeight="1">
      <x:c r="A2" s="265" t="str">
        <x:v>P0</x:v>
      </x:c>
      <x:c r="B2" s="266" t="str">
        <x:v>神经退行性</x:v>
      </x:c>
      <x:c r="C2" s="266" t="str">
        <x:v>亨廷顿病 (Huntington disease)</x:v>
      </x:c>
      <x:c r="D2" s="266" t="str">
        <x:v>Huntingtin</x:v>
      </x:c>
      <x:c r="E2" s="266" t="str">
        <x:v>HTT</x:v>
      </x:c>
      <x:c r="F2" s="266" t="str">
        <x:v>ENSG00000197386</x:v>
      </x:c>
      <x:c r="G2" s="266" t="str">
        <x:v>P42858</x:v>
      </x:c>
      <x:c r="H2" s="266" t="str">
        <x:v>Homo sapiens</x:v>
      </x:c>
      <x:c r="I2" s="266" t="str">
        <x:v>缺失</x:v>
      </x:c>
      <x:c r="J2" s="266" t="str">
        <x:v>DOWNLOAD</x:v>
      </x:c>
      <x:c r="K2" s="266" t="str">
        <x:v>6EZ8</x:v>
      </x:c>
      <x:c r="L2" s="266" t="str"/>
      <x:c r="M2" s="266" t="str">
        <x:v>近全长 HTT–HAP40 复合物</x:v>
      </x:c>
      <x:c r="N2" s="266" t="str">
        <x:v>https://files.rcsb.org/download/6EZ8.cif.gz</x:v>
      </x:c>
      <x:c r="O2" s="266" t="str">
        <x:v>https://files.rcsb.org/download/6EZ8.pdb.gz</x:v>
      </x:c>
      <x:c r="P2" s="266" t="str">
        <x:v>https://www.rcsb.org/structure/6EZ8</x:v>
      </x:c>
      <x:c r="Q2" s="266" t="str">
        <x:v>https://alphafold.ebi.ac.uk/api/prediction/P42858</x:v>
      </x:c>
      <x:c r="R2" s="267" t="str">
        <x:v>优先用于全蛋白构象；大型蛋白，建模前应按链/残基范围提取抗原。</x:v>
      </x:c>
    </x:row>
    <x:row r="3" ht="42" customHeight="1">
      <x:c r="A3" s="268" t="str">
        <x:v>P0</x:v>
      </x:c>
      <x:c r="B3" s="269" t="str">
        <x:v>神经系统</x:v>
      </x:c>
      <x:c r="C3" s="269" t="str">
        <x:v>肌萎缩侧索硬化症 (ALS)</x:v>
      </x:c>
      <x:c r="D3" s="269" t="str">
        <x:v>Superoxide dismutase 1</x:v>
      </x:c>
      <x:c r="E3" s="269" t="str">
        <x:v>SOD1</x:v>
      </x:c>
      <x:c r="F3" s="269" t="str">
        <x:v>ENSG00000142168</x:v>
      </x:c>
      <x:c r="G3" s="269" t="str">
        <x:v>P00441</x:v>
      </x:c>
      <x:c r="H3" s="269" t="str">
        <x:v>Homo sapiens</x:v>
      </x:c>
      <x:c r="I3" s="269" t="str">
        <x:v>缺失</x:v>
      </x:c>
      <x:c r="J3" s="269" t="str">
        <x:v>DOWNLOAD</x:v>
      </x:c>
      <x:c r="K3" s="269" t="str">
        <x:v>2C9V</x:v>
      </x:c>
      <x:c r="L3" s="269" t="str">
        <x:v>1HL5</x:v>
      </x:c>
      <x:c r="M3" s="269" t="str">
        <x:v>野生型全长同源二聚体</x:v>
      </x:c>
      <x:c r="N3" s="269" t="str">
        <x:v>https://files.rcsb.org/download/2C9V.cif.gz</x:v>
      </x:c>
      <x:c r="O3" s="269" t="str">
        <x:v>https://files.rcsb.org/download/2C9V.pdb.gz</x:v>
      </x:c>
      <x:c r="P3" s="269" t="str">
        <x:v>https://www.rcsb.org/structure/2C9V</x:v>
      </x:c>
      <x:c r="Q3" s="269" t="str">
        <x:v>https://alphafold.ebi.ac.uk/api/prediction/P00441</x:v>
      </x:c>
      <x:c r="R3" s="270" t="str">
        <x:v>2C9V 为高分辨率 Cu-Zn 野生型结构。</x:v>
      </x:c>
    </x:row>
    <x:row r="4" ht="42" customHeight="1">
      <x:c r="A4" s="268" t="str">
        <x:v>P0</x:v>
      </x:c>
      <x:c r="B4" s="269" t="str">
        <x:v>神经系统</x:v>
      </x:c>
      <x:c r="C4" s="269" t="str">
        <x:v>ALS / 额颞叶痴呆 (FTD)</x:v>
      </x:c>
      <x:c r="D4" s="269" t="str">
        <x:v>C9orf72</x:v>
      </x:c>
      <x:c r="E4" s="269" t="str">
        <x:v>C9ORF72</x:v>
      </x:c>
      <x:c r="F4" s="269" t="str">
        <x:v>ENSG00000147894</x:v>
      </x:c>
      <x:c r="G4" s="269" t="str">
        <x:v>Q96LT7</x:v>
      </x:c>
      <x:c r="H4" s="269" t="str">
        <x:v>Homo sapiens</x:v>
      </x:c>
      <x:c r="I4" s="269" t="str">
        <x:v>缺失</x:v>
      </x:c>
      <x:c r="J4" s="269" t="str">
        <x:v>DOWNLOAD</x:v>
      </x:c>
      <x:c r="K4" s="269" t="str">
        <x:v>6LT0</x:v>
      </x:c>
      <x:c r="L4" s="269" t="str"/>
      <x:c r="M4" s="269" t="str">
        <x:v>C9orf72–SMCR8–WDR41 复合物</x:v>
      </x:c>
      <x:c r="N4" s="269" t="str">
        <x:v>https://files.rcsb.org/download/6LT0.cif.gz</x:v>
      </x:c>
      <x:c r="O4" s="269" t="str">
        <x:v>https://files.rcsb.org/download/6LT0.pdb.gz</x:v>
      </x:c>
      <x:c r="P4" s="269" t="str">
        <x:v>https://www.rcsb.org/structure/6LT0</x:v>
      </x:c>
      <x:c r="Q4" s="269" t="str">
        <x:v>https://alphafold.ebi.ac.uk/api/prediction/Q96LT7</x:v>
      </x:c>
      <x:c r="R4" s="270" t="str">
        <x:v>复合物结构，适合保留生理伴侣后再提取 C9orf72 链。</x:v>
      </x:c>
    </x:row>
    <x:row r="5" ht="42" customHeight="1">
      <x:c r="A5" s="268" t="str">
        <x:v>P0</x:v>
      </x:c>
      <x:c r="B5" s="269" t="str">
        <x:v>神经系统</x:v>
      </x:c>
      <x:c r="C5" s="269" t="str">
        <x:v>ALS / FTD</x:v>
      </x:c>
      <x:c r="D5" s="269" t="str">
        <x:v>TDP-43</x:v>
      </x:c>
      <x:c r="E5" s="269" t="str">
        <x:v>TARDBP</x:v>
      </x:c>
      <x:c r="F5" s="269" t="str">
        <x:v>ENSG00000120948</x:v>
      </x:c>
      <x:c r="G5" s="269" t="str">
        <x:v>Q13148</x:v>
      </x:c>
      <x:c r="H5" s="269" t="str">
        <x:v>Homo sapiens</x:v>
      </x:c>
      <x:c r="I5" s="269" t="str">
        <x:v>缺失</x:v>
      </x:c>
      <x:c r="J5" s="269" t="str">
        <x:v>DOWNLOAD</x:v>
      </x:c>
      <x:c r="K5" s="269" t="str">
        <x:v>4BS2</x:v>
      </x:c>
      <x:c r="L5" s="269" t="str"/>
      <x:c r="M5" s="269" t="str">
        <x:v>RNA-recognition motif/domain</x:v>
      </x:c>
      <x:c r="N5" s="269" t="str">
        <x:v>https://files.rcsb.org/download/4BS2.cif.gz</x:v>
      </x:c>
      <x:c r="O5" s="269" t="str">
        <x:v>https://files.rcsb.org/download/4BS2.pdb.gz</x:v>
      </x:c>
      <x:c r="P5" s="269" t="str">
        <x:v>https://www.rcsb.org/structure/4BS2</x:v>
      </x:c>
      <x:c r="Q5" s="269" t="str">
        <x:v>https://alphafold.ebi.ac.uk/api/prediction/Q13148</x:v>
      </x:c>
      <x:c r="R5" s="270" t="str">
        <x:v>仅为结构域，不可标为完整 TDP-43 抗原。</x:v>
      </x:c>
    </x:row>
    <x:row r="6" ht="42" customHeight="1">
      <x:c r="A6" s="268" t="str">
        <x:v>P0</x:v>
      </x:c>
      <x:c r="B6" s="269" t="str">
        <x:v>神经损伤</x:v>
      </x:c>
      <x:c r="C6" s="269" t="str">
        <x:v>脊髓损伤 / 轴突再生抑制</x:v>
      </x:c>
      <x:c r="D6" s="269" t="str">
        <x:v>Nogo-66</x:v>
      </x:c>
      <x:c r="E6" s="269" t="str">
        <x:v>RTN4</x:v>
      </x:c>
      <x:c r="F6" s="269" t="str">
        <x:v>ENSG00000115310</x:v>
      </x:c>
      <x:c r="G6" s="269" t="str">
        <x:v>Q9NQC3</x:v>
      </x:c>
      <x:c r="H6" s="269" t="str">
        <x:v>Homo sapiens</x:v>
      </x:c>
      <x:c r="I6" s="269" t="str">
        <x:v>缺失</x:v>
      </x:c>
      <x:c r="J6" s="269" t="str">
        <x:v>DOWNLOAD</x:v>
      </x:c>
      <x:c r="K6" s="269" t="str">
        <x:v>2KO2</x:v>
      </x:c>
      <x:c r="L6" s="269" t="str">
        <x:v>2G31;2JV5</x:v>
      </x:c>
      <x:c r="M6" s="269" t="str">
        <x:v>Nogo-66胞外域，DPC膜模拟环境中的NMR结构</x:v>
      </x:c>
      <x:c r="N6" s="269" t="str">
        <x:v>https://files.rcsb.org/download/2KO2.cif.gz</x:v>
      </x:c>
      <x:c r="O6" s="269" t="str">
        <x:v>https://files.rcsb.org/download/2KO2.pdb.gz</x:v>
      </x:c>
      <x:c r="P6" s="269" t="str">
        <x:v>https://www.rcsb.org/structure/2KO2</x:v>
      </x:c>
      <x:c r="Q6" s="269" t="str">
        <x:v>https://alphafold.ebi.ac.uk/api/prediction/Q9NQC3</x:v>
      </x:c>
      <x:c r="R6" s="270" t="str">
        <x:v>已纠错：1P8T/1OZN均为RTN4R受体，不是RTN4配体；2KO2为Nogo-66在膜模拟环境中的实验结构。</x:v>
      </x:c>
    </x:row>
    <x:row r="7" ht="42" customHeight="1">
      <x:c r="A7" s="268" t="str">
        <x:v>P0</x:v>
      </x:c>
      <x:c r="B7" s="269" t="str">
        <x:v>神经损伤</x:v>
      </x:c>
      <x:c r="C7" s="269" t="str">
        <x:v>脊髓损伤 / 轴突再生抑制</x:v>
      </x:c>
      <x:c r="D7" s="269" t="str">
        <x:v>Nogo receptor 1</x:v>
      </x:c>
      <x:c r="E7" s="269" t="str">
        <x:v>RTN4R</x:v>
      </x:c>
      <x:c r="F7" s="269" t="str">
        <x:v>ENSG00000040608</x:v>
      </x:c>
      <x:c r="G7" s="269" t="str">
        <x:v>Q9BZR6</x:v>
      </x:c>
      <x:c r="H7" s="269" t="str">
        <x:v>Homo sapiens</x:v>
      </x:c>
      <x:c r="I7" s="269" t="str">
        <x:v>缺失</x:v>
      </x:c>
      <x:c r="J7" s="269" t="str">
        <x:v>DOWNLOAD</x:v>
      </x:c>
      <x:c r="K7" s="269" t="str">
        <x:v>1OZN</x:v>
      </x:c>
      <x:c r="L7" s="269" t="str"/>
      <x:c r="M7" s="269" t="str">
        <x:v>胞外 LRR 配体结合结构域</x:v>
      </x:c>
      <x:c r="N7" s="269" t="str">
        <x:v>https://files.rcsb.org/download/1OZN.cif.gz</x:v>
      </x:c>
      <x:c r="O7" s="269" t="str">
        <x:v>https://files.rcsb.org/download/1OZN.pdb.gz</x:v>
      </x:c>
      <x:c r="P7" s="269" t="str">
        <x:v>https://www.rcsb.org/structure/1OZN</x:v>
      </x:c>
      <x:c r="Q7" s="269" t="str">
        <x:v>https://alphafold.ebi.ac.uk/api/prediction/Q9BZR6</x:v>
      </x:c>
      <x:c r="R7" s="270" t="str">
        <x:v>用于抗体/配体设计时应保留胞外域。</x:v>
      </x:c>
    </x:row>
    <x:row r="8" ht="42" customHeight="1">
      <x:c r="A8" s="268" t="str">
        <x:v>P0</x:v>
      </x:c>
      <x:c r="B8" s="269" t="str">
        <x:v>神经损伤</x:v>
      </x:c>
      <x:c r="C8" s="269" t="str">
        <x:v>脊髓损伤 / Rho 通路</x:v>
      </x:c>
      <x:c r="D8" s="269" t="str">
        <x:v>RhoA</x:v>
      </x:c>
      <x:c r="E8" s="269" t="str">
        <x:v>RHOA</x:v>
      </x:c>
      <x:c r="F8" s="269" t="str">
        <x:v>ENSG00000067560</x:v>
      </x:c>
      <x:c r="G8" s="269" t="str">
        <x:v>P61586</x:v>
      </x:c>
      <x:c r="H8" s="269" t="str">
        <x:v>Homo sapiens</x:v>
      </x:c>
      <x:c r="I8" s="269" t="str">
        <x:v>缺失</x:v>
      </x:c>
      <x:c r="J8" s="269" t="str">
        <x:v>DOWNLOAD</x:v>
      </x:c>
      <x:c r="K8" s="269" t="str">
        <x:v>6BC0</x:v>
      </x:c>
      <x:c r="L8" s="269" t="str">
        <x:v>6BBX;8K3U</x:v>
      </x:c>
      <x:c r="M8" s="269" t="str">
        <x:v>全长小 GTPase</x:v>
      </x:c>
      <x:c r="N8" s="269" t="str">
        <x:v>https://files.rcsb.org/download/6BC0.cif.gz</x:v>
      </x:c>
      <x:c r="O8" s="269" t="str">
        <x:v>https://files.rcsb.org/download/6BC0.pdb.gz</x:v>
      </x:c>
      <x:c r="P8" s="269" t="str">
        <x:v>https://www.rcsb.org/structure/6BC0</x:v>
      </x:c>
      <x:c r="Q8" s="269" t="str">
        <x:v>https://alphafold.ebi.ac.uk/api/prediction/P61586</x:v>
      </x:c>
      <x:c r="R8" s="270" t="str">
        <x:v>“Cethrin”是候选治疗蛋白/药物，不是靶点；实际通路靶点应记录 RHOA。</x:v>
      </x:c>
    </x:row>
    <x:row r="9" ht="42" customHeight="1">
      <x:c r="A9" s="268" t="str">
        <x:v>P0</x:v>
      </x:c>
      <x:c r="B9" s="269" t="str">
        <x:v>感染性疾病</x:v>
      </x:c>
      <x:c r="C9" s="269" t="str">
        <x:v>破伤风</x:v>
      </x:c>
      <x:c r="D9" s="269" t="str">
        <x:v>Tetanus neurotoxin Hc fragment</x:v>
      </x:c>
      <x:c r="E9" s="269" t="str">
        <x:v>TeNT / tetX</x:v>
      </x:c>
      <x:c r="F9" s="269" t="str"/>
      <x:c r="G9" s="269" t="str">
        <x:v>P04958</x:v>
      </x:c>
      <x:c r="H9" s="269" t="str">
        <x:v>Clostridium tetani</x:v>
      </x:c>
      <x:c r="I9" s="269" t="str">
        <x:v>缺失</x:v>
      </x:c>
      <x:c r="J9" s="269" t="str">
        <x:v>DOWNLOAD</x:v>
      </x:c>
      <x:c r="K9" s="269" t="str">
        <x:v>1A8D</x:v>
      </x:c>
      <x:c r="L9" s="269" t="str">
        <x:v>7BY5</x:v>
      </x:c>
      <x:c r="M9" s="269" t="str">
        <x:v>受体结合 C 端抗原片段</x:v>
      </x:c>
      <x:c r="N9" s="269" t="str">
        <x:v>https://files.rcsb.org/download/1A8D.cif.gz</x:v>
      </x:c>
      <x:c r="O9" s="269" t="str">
        <x:v>https://files.rcsb.org/download/1A8D.pdb.gz</x:v>
      </x:c>
      <x:c r="P9" s="269" t="str">
        <x:v>https://www.rcsb.org/structure/1A8D</x:v>
      </x:c>
      <x:c r="Q9" s="269" t="str">
        <x:v>https://alphafold.ebi.ac.uk/api/prediction/P04958</x:v>
      </x:c>
      <x:c r="R9" s="270" t="str">
        <x:v>1A8D 是高分辨率 Hc 抗原；如需全长失活毒素可同时保存 7BY5。</x:v>
      </x:c>
    </x:row>
    <x:row r="10" ht="42" customHeight="1">
      <x:c r="A10" s="268" t="str">
        <x:v>P0</x:v>
      </x:c>
      <x:c r="B10" s="269" t="str">
        <x:v>感染性疾病</x:v>
      </x:c>
      <x:c r="C10" s="269" t="str">
        <x:v>疟疾</x:v>
      </x:c>
      <x:c r="D10" s="269" t="str">
        <x:v>Histidine-rich protein 2</x:v>
      </x:c>
      <x:c r="E10" s="269" t="str">
        <x:v>PfHRP2 / PF3D7_0831800</x:v>
      </x:c>
      <x:c r="F10" s="269" t="str"/>
      <x:c r="G10" s="269" t="str"/>
      <x:c r="H10" s="269" t="str">
        <x:v>Plasmodium falciparum</x:v>
      </x:c>
      <x:c r="I10" s="269" t="str">
        <x:v>缺失</x:v>
      </x:c>
      <x:c r="J10" s="269" t="str">
        <x:v>NO_EXPERIMENTAL_PDB</x:v>
      </x:c>
      <x:c r="K10" s="269" t="str"/>
      <x:c r="L10" s="269" t="str"/>
      <x:c r="M10" s="269" t="str">
        <x:v>重复富组氨酸、无可靠实验结构</x:v>
      </x:c>
      <x:c r="N10" s="269" t="str"/>
      <x:c r="O10" s="269" t="str"/>
      <x:c r="P10" s="269" t="str"/>
      <x:c r="Q10" s="269" t="str"/>
      <x:c r="R10" s="270" t="str">
        <x:v>不建议伪造 PDB；改为序列/线性表位资产，AlphaFold 结果也需低置信度标记。</x:v>
      </x:c>
    </x:row>
    <x:row r="11" ht="42" customHeight="1">
      <x:c r="A11" s="268" t="str">
        <x:v>P0</x:v>
      </x:c>
      <x:c r="B11" s="269" t="str">
        <x:v>感染性疾病</x:v>
      </x:c>
      <x:c r="C11" s="269" t="str">
        <x:v>疟疾 / 疫苗抗原</x:v>
      </x:c>
      <x:c r="D11" s="269" t="str">
        <x:v>Circumsporozoite protein</x:v>
      </x:c>
      <x:c r="E11" s="269" t="str">
        <x:v>CSP / PF3D7_0304600</x:v>
      </x:c>
      <x:c r="F11" s="269" t="str"/>
      <x:c r="G11" s="269" t="str">
        <x:v>Q7K740</x:v>
      </x:c>
      <x:c r="H11" s="269" t="str">
        <x:v>Plasmodium falciparum 3D7</x:v>
      </x:c>
      <x:c r="I11" s="269" t="str">
        <x:v>缺失</x:v>
      </x:c>
      <x:c r="J11" s="269" t="str">
        <x:v>DOWNLOAD</x:v>
      </x:c>
      <x:c r="K11" s="269" t="str">
        <x:v>7V05</x:v>
      </x:c>
      <x:c r="L11" s="269" t="str"/>
      <x:c r="M11" s="269" t="str">
        <x:v>近全长 CSP–Fab 复合物</x:v>
      </x:c>
      <x:c r="N11" s="269" t="str">
        <x:v>https://files.rcsb.org/download/7V05.cif.gz</x:v>
      </x:c>
      <x:c r="O11" s="269" t="str">
        <x:v>https://files.rcsb.org/download/7V05.pdb.gz</x:v>
      </x:c>
      <x:c r="P11" s="269" t="str">
        <x:v>https://www.rcsb.org/structure/7V05</x:v>
      </x:c>
      <x:c r="Q11" s="269" t="str">
        <x:v>https://alphafold.ebi.ac.uk/api/prediction/Q7K740</x:v>
      </x:c>
      <x:c r="R11" s="270" t="str">
        <x:v>含多拷贝 Fab；下载后应提取 CSP 链 Q。</x:v>
      </x:c>
    </x:row>
    <x:row r="12" ht="42" customHeight="1">
      <x:c r="A12" s="268" t="str">
        <x:v>P0</x:v>
      </x:c>
      <x:c r="B12" s="269" t="str">
        <x:v>感染性疾病</x:v>
      </x:c>
      <x:c r="C12" s="269" t="str">
        <x:v>疟疾 / 血期疫苗抗原</x:v>
      </x:c>
      <x:c r="D12" s="269" t="str">
        <x:v>Merozoite surface protein 1</x:v>
      </x:c>
      <x:c r="E12" s="269" t="str">
        <x:v>MSP1 / PF3D7_0930300</x:v>
      </x:c>
      <x:c r="F12" s="269" t="str"/>
      <x:c r="G12" s="269" t="str">
        <x:v>Q8I0U8</x:v>
      </x:c>
      <x:c r="H12" s="269" t="str">
        <x:v>Plasmodium falciparum 3D7</x:v>
      </x:c>
      <x:c r="I12" s="269" t="str">
        <x:v>缺失</x:v>
      </x:c>
      <x:c r="J12" s="269" t="str">
        <x:v>DOWNLOAD</x:v>
      </x:c>
      <x:c r="K12" s="269" t="str">
        <x:v>6ZBF</x:v>
      </x:c>
      <x:c r="L12" s="269" t="str">
        <x:v>1B9W;8DFG</x:v>
      </x:c>
      <x:c r="M12" s="269" t="str">
        <x:v>近全长 MSP1 cryo-EM</x:v>
      </x:c>
      <x:c r="N12" s="269" t="str">
        <x:v>https://files.rcsb.org/download/6ZBF.cif.gz</x:v>
      </x:c>
      <x:c r="O12" s="269" t="str">
        <x:v>https://files.rcsb.org/download/6ZBF.pdb.gz</x:v>
      </x:c>
      <x:c r="P12" s="269" t="str">
        <x:v>https://www.rcsb.org/structure/6ZBF</x:v>
      </x:c>
      <x:c r="Q12" s="269" t="str">
        <x:v>https://alphafold.ebi.ac.uk/api/prediction/Q8I0U8</x:v>
      </x:c>
      <x:c r="R12" s="270" t="str">
        <x:v>6ZBF 为近全长构象；1B9W/8DFG 可作为抗体表位结构补充。</x:v>
      </x:c>
    </x:row>
    <x:row r="13" ht="42" customHeight="1">
      <x:c r="A13" s="268" t="str">
        <x:v>P0</x:v>
      </x:c>
      <x:c r="B13" s="269" t="str">
        <x:v>感染性疾病</x:v>
      </x:c>
      <x:c r="C13" s="269" t="str">
        <x:v>疟疾 / 侵袭抗原</x:v>
      </x:c>
      <x:c r="D13" s="269" t="str">
        <x:v>Apical membrane antigen 1</x:v>
      </x:c>
      <x:c r="E13" s="269" t="str">
        <x:v>AMA1 / PF3D7_1133400</x:v>
      </x:c>
      <x:c r="F13" s="269" t="str"/>
      <x:c r="G13" s="269" t="str">
        <x:v>Q7KQK5</x:v>
      </x:c>
      <x:c r="H13" s="269" t="str">
        <x:v>Plasmodium falciparum 3D7</x:v>
      </x:c>
      <x:c r="I13" s="269" t="str">
        <x:v>缺失</x:v>
      </x:c>
      <x:c r="J13" s="269" t="str">
        <x:v>DOWNLOAD</x:v>
      </x:c>
      <x:c r="K13" s="269" t="str">
        <x:v>1Z40</x:v>
      </x:c>
      <x:c r="L13" s="269" t="str"/>
      <x:c r="M13" s="269" t="str">
        <x:v>AMA1 domains I–II</x:v>
      </x:c>
      <x:c r="N13" s="269" t="str">
        <x:v>https://files.rcsb.org/download/1Z40.cif.gz</x:v>
      </x:c>
      <x:c r="O13" s="269" t="str">
        <x:v>https://files.rcsb.org/download/1Z40.pdb.gz</x:v>
      </x:c>
      <x:c r="P13" s="269" t="str">
        <x:v>https://www.rcsb.org/structure/1Z40</x:v>
      </x:c>
      <x:c r="Q13" s="269" t="str">
        <x:v>https://alphafold.ebi.ac.uk/api/prediction/Q7KQK5</x:v>
      </x:c>
      <x:c r="R13" s="270" t="str">
        <x:v>高分辨率功能片段，非完整前体。</x:v>
      </x:c>
    </x:row>
    <x:row r="14" ht="42" customHeight="1">
      <x:c r="A14" s="268" t="str">
        <x:v>P0</x:v>
      </x:c>
      <x:c r="B14" s="269" t="str">
        <x:v>感染性疾病</x:v>
      </x:c>
      <x:c r="C14" s="269" t="str">
        <x:v>疟疾 / 红细胞侵袭</x:v>
      </x:c>
      <x:c r="D14" s="269" t="str">
        <x:v>Reticulocyte-binding protein homologue 5</x:v>
      </x:c>
      <x:c r="E14" s="269" t="str">
        <x:v>RH5 / PF3D7_0424100</x:v>
      </x:c>
      <x:c r="F14" s="269" t="str"/>
      <x:c r="G14" s="269" t="str">
        <x:v>Q8IFM5</x:v>
      </x:c>
      <x:c r="H14" s="269" t="str">
        <x:v>Plasmodium falciparum 3D7</x:v>
      </x:c>
      <x:c r="I14" s="269" t="str">
        <x:v>缺失</x:v>
      </x:c>
      <x:c r="J14" s="269" t="str">
        <x:v>DOWNLOAD</x:v>
      </x:c>
      <x:c r="K14" s="269" t="str">
        <x:v>4WAT</x:v>
      </x:c>
      <x:c r="L14" s="269" t="str">
        <x:v>4U0Q</x:v>
      </x:c>
      <x:c r="M14" s="269" t="str">
        <x:v>可溶性 RH5 抗原</x:v>
      </x:c>
      <x:c r="N14" s="269" t="str">
        <x:v>https://files.rcsb.org/download/4WAT.cif.gz</x:v>
      </x:c>
      <x:c r="O14" s="269" t="str">
        <x:v>https://files.rcsb.org/download/4WAT.pdb.gz</x:v>
      </x:c>
      <x:c r="P14" s="269" t="str">
        <x:v>https://www.rcsb.org/structure/4WAT</x:v>
      </x:c>
      <x:c r="Q14" s="269" t="str">
        <x:v>https://alphafold.ebi.ac.uk/api/prediction/Q8IFM5</x:v>
      </x:c>
      <x:c r="R14" s="270" t="str">
        <x:v>4WAT 为 2.18 Å RH5；4U0Q 含 Basigin/阻断抗体复合物。</x:v>
      </x:c>
    </x:row>
    <x:row r="15" ht="42" customHeight="1">
      <x:c r="A15" s="268" t="str">
        <x:v>P0</x:v>
      </x:c>
      <x:c r="B15" s="269" t="str">
        <x:v>感染性疾病/肿瘤</x:v>
      </x:c>
      <x:c r="C15" s="269" t="str">
        <x:v>HPV16 感染 / 宫颈癌预防</x:v>
      </x:c>
      <x:c r="D15" s="269" t="str">
        <x:v>Major capsid protein L1</x:v>
      </x:c>
      <x:c r="E15" s="269" t="str">
        <x:v>HPV16 L1</x:v>
      </x:c>
      <x:c r="F15" s="269" t="str"/>
      <x:c r="G15" s="269" t="str">
        <x:v>A0A1U9YFU1</x:v>
      </x:c>
      <x:c r="H15" s="269" t="str">
        <x:v>Human papillomavirus 16</x:v>
      </x:c>
      <x:c r="I15" s="269" t="str">
        <x:v>缺失</x:v>
      </x:c>
      <x:c r="J15" s="269" t="str">
        <x:v>DOWNLOAD</x:v>
      </x:c>
      <x:c r="K15" s="269" t="str">
        <x:v>2R5H</x:v>
      </x:c>
      <x:c r="L15" s="269" t="str"/>
      <x:c r="M15" s="269" t="str">
        <x:v>L1 五聚体抗原</x:v>
      </x:c>
      <x:c r="N15" s="269" t="str">
        <x:v>https://files.rcsb.org/download/2R5H.cif.gz</x:v>
      </x:c>
      <x:c r="O15" s="269" t="str">
        <x:v>https://files.rcsb.org/download/2R5H.pdb.gz</x:v>
      </x:c>
      <x:c r="P15" s="269" t="str">
        <x:v>https://www.rcsb.org/structure/2R5H</x:v>
      </x:c>
      <x:c r="Q15" s="269" t="str">
        <x:v>https://alphafold.ebi.ac.uk/api/prediction/A0A1U9YFU1</x:v>
      </x:c>
      <x:c r="R15" s="270" t="str">
        <x:v>适用于中和抗体和 VLP 表面表位分析。</x:v>
      </x:c>
    </x:row>
    <x:row r="16" ht="42" customHeight="1">
      <x:c r="A16" s="268" t="str">
        <x:v>P0</x:v>
      </x:c>
      <x:c r="B16" s="269" t="str">
        <x:v>感染性疾病/肿瘤</x:v>
      </x:c>
      <x:c r="C16" s="269" t="str">
        <x:v>HPV16 相关癌症</x:v>
      </x:c>
      <x:c r="D16" s="269" t="str">
        <x:v>Oncoprotein E6</x:v>
      </x:c>
      <x:c r="E16" s="269" t="str">
        <x:v>HPV16 E6</x:v>
      </x:c>
      <x:c r="F16" s="269" t="str"/>
      <x:c r="G16" s="269" t="str">
        <x:v>P03126</x:v>
      </x:c>
      <x:c r="H16" s="269" t="str">
        <x:v>Human papillomavirus 16</x:v>
      </x:c>
      <x:c r="I16" s="269" t="str">
        <x:v>缺失</x:v>
      </x:c>
      <x:c r="J16" s="269" t="str">
        <x:v>DOWNLOAD</x:v>
      </x:c>
      <x:c r="K16" s="269" t="str">
        <x:v>4GIZ</x:v>
      </x:c>
      <x:c r="L16" s="269" t="str"/>
      <x:c r="M16" s="269" t="str">
        <x:v>近全长 E6–E6AP motif 复合物</x:v>
      </x:c>
      <x:c r="N16" s="269" t="str">
        <x:v>https://files.rcsb.org/download/4GIZ.cif.gz</x:v>
      </x:c>
      <x:c r="O16" s="269" t="str">
        <x:v>https://files.rcsb.org/download/4GIZ.pdb.gz</x:v>
      </x:c>
      <x:c r="P16" s="269" t="str">
        <x:v>https://www.rcsb.org/structure/4GIZ</x:v>
      </x:c>
      <x:c r="Q16" s="269" t="str">
        <x:v>https://alphafold.ebi.ac.uk/api/prediction/P03126</x:v>
      </x:c>
      <x:c r="R16" s="270" t="str">
        <x:v>结构含融合/伴侣组分和突变，提取 E6 链并保留注释。</x:v>
      </x:c>
    </x:row>
    <x:row r="17" ht="42" customHeight="1">
      <x:c r="A17" s="268" t="str">
        <x:v>P0</x:v>
      </x:c>
      <x:c r="B17" s="269" t="str">
        <x:v>感染性疾病/肿瘤</x:v>
      </x:c>
      <x:c r="C17" s="269" t="str">
        <x:v>HPV16 相关癌症</x:v>
      </x:c>
      <x:c r="D17" s="269" t="str">
        <x:v>Oncoprotein E7</x:v>
      </x:c>
      <x:c r="E17" s="269" t="str">
        <x:v>HPV16 E7</x:v>
      </x:c>
      <x:c r="F17" s="269" t="str"/>
      <x:c r="G17" s="269" t="str">
        <x:v>P03129</x:v>
      </x:c>
      <x:c r="H17" s="269" t="str">
        <x:v>Human papillomavirus 16</x:v>
      </x:c>
      <x:c r="I17" s="269" t="str">
        <x:v>缺失</x:v>
      </x:c>
      <x:c r="J17" s="269" t="str">
        <x:v>DOWNLOAD_EPITOPE_ONLY</x:v>
      </x:c>
      <x:c r="K17" s="269" t="str">
        <x:v>6APN</x:v>
      </x:c>
      <x:c r="L17" s="269" t="str">
        <x:v>6E1I;7SSH</x:v>
      </x:c>
      <x:c r="M17" s="269" t="str">
        <x:v>E7 肽–HLA 复合物</x:v>
      </x:c>
      <x:c r="N17" s="269" t="str">
        <x:v>https://files.rcsb.org/download/6APN.cif.gz</x:v>
      </x:c>
      <x:c r="O17" s="269" t="str">
        <x:v>https://files.rcsb.org/download/6APN.pdb.gz</x:v>
      </x:c>
      <x:c r="P17" s="269" t="str">
        <x:v>https://www.rcsb.org/structure/6APN</x:v>
      </x:c>
      <x:c r="Q17" s="269" t="str">
        <x:v>https://alphafold.ebi.ac.uk/api/prediction/P03129</x:v>
      </x:c>
      <x:c r="R17" s="270" t="str">
        <x:v>没有可直接当作完整 HPV16 E7 抗原的实验结构；此项仅保存免疫表位构象。</x:v>
      </x:c>
    </x:row>
    <x:row r="18" ht="42" customHeight="1">
      <x:c r="A18" s="268" t="str">
        <x:v>P0</x:v>
      </x:c>
      <x:c r="B18" s="269" t="str">
        <x:v>罕见病/代谢</x:v>
      </x:c>
      <x:c r="C18" s="269" t="str">
        <x:v>Fabry disease</x:v>
      </x:c>
      <x:c r="D18" s="269" t="str">
        <x:v>Alpha-galactosidase A</x:v>
      </x:c>
      <x:c r="E18" s="269" t="str">
        <x:v>GLA</x:v>
      </x:c>
      <x:c r="F18" s="269" t="str">
        <x:v>ENSG00000102393</x:v>
      </x:c>
      <x:c r="G18" s="269" t="str">
        <x:v>P06280</x:v>
      </x:c>
      <x:c r="H18" s="269" t="str">
        <x:v>Homo sapiens</x:v>
      </x:c>
      <x:c r="I18" s="269" t="str">
        <x:v>缺失</x:v>
      </x:c>
      <x:c r="J18" s="269" t="str">
        <x:v>DOWNLOAD</x:v>
      </x:c>
      <x:c r="K18" s="269" t="str">
        <x:v>3S5Z</x:v>
      </x:c>
      <x:c r="L18" s="269" t="str"/>
      <x:c r="M18" s="269" t="str">
        <x:v>全长成熟酶二聚体</x:v>
      </x:c>
      <x:c r="N18" s="269" t="str">
        <x:v>https://files.rcsb.org/download/3S5Z.cif.gz</x:v>
      </x:c>
      <x:c r="O18" s="269" t="str">
        <x:v>https://files.rcsb.org/download/3S5Z.pdb.gz</x:v>
      </x:c>
      <x:c r="P18" s="269" t="str">
        <x:v>https://www.rcsb.org/structure/3S5Z</x:v>
      </x:c>
      <x:c r="Q18" s="269" t="str">
        <x:v>https://alphafold.ebi.ac.uk/api/prediction/P06280</x:v>
      </x:c>
      <x:c r="R18" s="270" t="str">
        <x:v>人源 α-Gal A，适合酶替代/伴侣药与抗体检测相关建模。</x:v>
      </x:c>
    </x:row>
    <x:row r="19" ht="42" customHeight="1">
      <x:c r="A19" s="268" t="str">
        <x:v>P0</x:v>
      </x:c>
      <x:c r="B19" s="269" t="str">
        <x:v>罕见病/代谢</x:v>
      </x:c>
      <x:c r="C19" s="269" t="str">
        <x:v>Gaucher disease / Parkinson risk</x:v>
      </x:c>
      <x:c r="D19" s="269" t="str">
        <x:v>Glucocerebrosidase</x:v>
      </x:c>
      <x:c r="E19" s="269" t="str">
        <x:v>GBA1</x:v>
      </x:c>
      <x:c r="F19" s="269" t="str">
        <x:v>ENSG00000177628</x:v>
      </x:c>
      <x:c r="G19" s="269" t="str">
        <x:v>P04062</x:v>
      </x:c>
      <x:c r="H19" s="269" t="str">
        <x:v>Homo sapiens</x:v>
      </x:c>
      <x:c r="I19" s="269" t="str">
        <x:v>本地 asset_only</x:v>
      </x:c>
      <x:c r="J19" s="269" t="str">
        <x:v>PROMOTE_ROUTE</x:v>
      </x:c>
      <x:c r="K19" s="269" t="str">
        <x:v>1OGS</x:v>
      </x:c>
      <x:c r="L19" s="269" t="str"/>
      <x:c r="M19" s="269" t="str">
        <x:v>全长成熟酶</x:v>
      </x:c>
      <x:c r="N19" s="269" t="str">
        <x:v>https://files.rcsb.org/download/1OGS.cif.gz</x:v>
      </x:c>
      <x:c r="O19" s="269" t="str">
        <x:v>https://files.rcsb.org/download/1OGS.pdb.gz</x:v>
      </x:c>
      <x:c r="P19" s="269" t="str">
        <x:v>https://www.rcsb.org/structure/1OGS</x:v>
      </x:c>
      <x:c r="Q19" s="269" t="str">
        <x:v>https://alphafold.ebi.ac.uk/api/prediction/P04062</x:v>
      </x:c>
      <x:c r="R19" s="270" t="str">
        <x:v>PDB 已在本地资产中；只需升级为正式路由，不要重复下载。</x:v>
      </x:c>
    </x:row>
    <x:row r="20" ht="42" customHeight="1">
      <x:c r="A20" s="268" t="str">
        <x:v>P0</x:v>
      </x:c>
      <x:c r="B20" s="269" t="str">
        <x:v>罕见病/代谢</x:v>
      </x:c>
      <x:c r="C20" s="269" t="str">
        <x:v>Mucopolysaccharidosis II (Hunter)</x:v>
      </x:c>
      <x:c r="D20" s="269" t="str">
        <x:v>Iduronate-2-sulfatase</x:v>
      </x:c>
      <x:c r="E20" s="269" t="str">
        <x:v>IDS</x:v>
      </x:c>
      <x:c r="F20" s="269" t="str">
        <x:v>ENSG00000010404</x:v>
      </x:c>
      <x:c r="G20" s="269" t="str">
        <x:v>P22304</x:v>
      </x:c>
      <x:c r="H20" s="269" t="str">
        <x:v>Homo sapiens</x:v>
      </x:c>
      <x:c r="I20" s="269" t="str">
        <x:v>缺失</x:v>
      </x:c>
      <x:c r="J20" s="269" t="str">
        <x:v>DOWNLOAD</x:v>
      </x:c>
      <x:c r="K20" s="269" t="str">
        <x:v>5FQL</x:v>
      </x:c>
      <x:c r="L20" s="269" t="str"/>
      <x:c r="M20" s="269" t="str">
        <x:v>全长成熟酶</x:v>
      </x:c>
      <x:c r="N20" s="269" t="str">
        <x:v>https://files.rcsb.org/download/5FQL.cif.gz</x:v>
      </x:c>
      <x:c r="O20" s="269" t="str">
        <x:v>https://files.rcsb.org/download/5FQL.pdb.gz</x:v>
      </x:c>
      <x:c r="P20" s="269" t="str">
        <x:v>https://www.rcsb.org/structure/5FQL</x:v>
      </x:c>
      <x:c r="Q20" s="269" t="str">
        <x:v>https://alphafold.ebi.ac.uk/api/prediction/P22304</x:v>
      </x:c>
      <x:c r="R20" s="270" t="str">
        <x:v>人源 IDS，2.30 Å。</x:v>
      </x:c>
    </x:row>
    <x:row r="21" ht="42" customHeight="1">
      <x:c r="A21" s="268" t="str">
        <x:v>P0</x:v>
      </x:c>
      <x:c r="B21" s="269" t="str">
        <x:v>罕见病/代谢</x:v>
      </x:c>
      <x:c r="C21" s="269" t="str">
        <x:v>Mucopolysaccharidosis I</x:v>
      </x:c>
      <x:c r="D21" s="269" t="str">
        <x:v>Alpha-L-iduronidase</x:v>
      </x:c>
      <x:c r="E21" s="269" t="str">
        <x:v>IDUA</x:v>
      </x:c>
      <x:c r="F21" s="269" t="str">
        <x:v>ENSG00000127415</x:v>
      </x:c>
      <x:c r="G21" s="269" t="str">
        <x:v>P35475</x:v>
      </x:c>
      <x:c r="H21" s="269" t="str">
        <x:v>Homo sapiens</x:v>
      </x:c>
      <x:c r="I21" s="269" t="str">
        <x:v>缺失</x:v>
      </x:c>
      <x:c r="J21" s="269" t="str">
        <x:v>DOWNLOAD</x:v>
      </x:c>
      <x:c r="K21" s="269" t="str">
        <x:v>3W81</x:v>
      </x:c>
      <x:c r="L21" s="269" t="str"/>
      <x:c r="M21" s="269" t="str">
        <x:v>全长成熟酶</x:v>
      </x:c>
      <x:c r="N21" s="269" t="str">
        <x:v>https://files.rcsb.org/download/3W81.cif.gz</x:v>
      </x:c>
      <x:c r="O21" s="269" t="str">
        <x:v>https://files.rcsb.org/download/3W81.pdb.gz</x:v>
      </x:c>
      <x:c r="P21" s="269" t="str">
        <x:v>https://www.rcsb.org/structure/3W81</x:v>
      </x:c>
      <x:c r="Q21" s="269" t="str">
        <x:v>https://alphafold.ebi.ac.uk/api/prediction/P35475</x:v>
      </x:c>
      <x:c r="R21" s="270" t="str">
        <x:v>人源 IDUA，保留糖基化信息。</x:v>
      </x:c>
    </x:row>
    <x:row r="22" ht="42" customHeight="1">
      <x:c r="A22" s="268" t="str">
        <x:v>P0</x:v>
      </x:c>
      <x:c r="B22" s="269" t="str">
        <x:v>神经肌肉/罕见病</x:v>
      </x:c>
      <x:c r="C22" s="269" t="str">
        <x:v>Spinal muscular atrophy</x:v>
      </x:c>
      <x:c r="D22" s="269" t="str">
        <x:v>Survival motor neuron protein 1</x:v>
      </x:c>
      <x:c r="E22" s="269" t="str">
        <x:v>SMN1</x:v>
      </x:c>
      <x:c r="F22" s="269" t="str">
        <x:v>ENSG00000172062</x:v>
      </x:c>
      <x:c r="G22" s="269" t="str">
        <x:v>Q16637</x:v>
      </x:c>
      <x:c r="H22" s="269" t="str">
        <x:v>Homo sapiens</x:v>
      </x:c>
      <x:c r="I22" s="269" t="str">
        <x:v>缺失</x:v>
      </x:c>
      <x:c r="J22" s="269" t="str">
        <x:v>DOWNLOAD</x:v>
      </x:c>
      <x:c r="K22" s="269" t="str">
        <x:v>4GLI</x:v>
      </x:c>
      <x:c r="L22" s="269" t="str">
        <x:v>4QQ6</x:v>
      </x:c>
      <x:c r="M22" s="269" t="str">
        <x:v>YG-box 寡聚化结构域</x:v>
      </x:c>
      <x:c r="N22" s="269" t="str">
        <x:v>https://files.rcsb.org/download/4GLI.cif.gz</x:v>
      </x:c>
      <x:c r="O22" s="269" t="str">
        <x:v>https://files.rcsb.org/download/4GLI.pdb.gz</x:v>
      </x:c>
      <x:c r="P22" s="269" t="str">
        <x:v>https://www.rcsb.org/structure/4GLI</x:v>
      </x:c>
      <x:c r="Q22" s="269" t="str">
        <x:v>https://alphafold.ebi.ac.uk/api/prediction/Q16637</x:v>
      </x:c>
      <x:c r="R22" s="270" t="str">
        <x:v>4GLI 是融合构建体中的 SMN YG-box，并非完整 SMN。</x:v>
      </x:c>
    </x:row>
    <x:row r="23" ht="42" customHeight="1">
      <x:c r="A23" s="268" t="str">
        <x:v>P0</x:v>
      </x:c>
      <x:c r="B23" s="269" t="str">
        <x:v>神经肌肉/罕见病</x:v>
      </x:c>
      <x:c r="C23" s="269" t="str">
        <x:v>Spinal muscular atrophy</x:v>
      </x:c>
      <x:c r="D23" s="269" t="str">
        <x:v>Survival motor neuron protein 2</x:v>
      </x:c>
      <x:c r="E23" s="269" t="str">
        <x:v>SMN2</x:v>
      </x:c>
      <x:c r="F23" s="269" t="str">
        <x:v>ENSG00000205571</x:v>
      </x:c>
      <x:c r="G23" s="269" t="str">
        <x:v>Q16637</x:v>
      </x:c>
      <x:c r="H23" s="269" t="str">
        <x:v>Homo sapiens</x:v>
      </x:c>
      <x:c r="I23" s="269" t="str">
        <x:v>缺失</x:v>
      </x:c>
      <x:c r="J23" s="269" t="str">
        <x:v>DOWNLOAD</x:v>
      </x:c>
      <x:c r="K23" s="269" t="str">
        <x:v>4GLI</x:v>
      </x:c>
      <x:c r="L23" s="269" t="str">
        <x:v>4QQ6</x:v>
      </x:c>
      <x:c r="M23" s="269" t="str">
        <x:v>YG-box 寡聚化结构域</x:v>
      </x:c>
      <x:c r="N23" s="269" t="str">
        <x:v>https://files.rcsb.org/download/4GLI.cif.gz</x:v>
      </x:c>
      <x:c r="O23" s="269" t="str">
        <x:v>https://files.rcsb.org/download/4GLI.pdb.gz</x:v>
      </x:c>
      <x:c r="P23" s="269" t="str">
        <x:v>https://www.rcsb.org/structure/4GLI</x:v>
      </x:c>
      <x:c r="Q23" s="269" t="str">
        <x:v>https://alphafold.ebi.ac.uk/api/prediction/Q16637</x:v>
      </x:c>
      <x:c r="R23" s="270" t="str">
        <x:v>SMN1/SMN2 蛋白高度相同，共用结构；下载时去重。</x:v>
      </x:c>
    </x:row>
    <x:row r="24" ht="42" customHeight="1">
      <x:c r="A24" s="268" t="str">
        <x:v>P2</x:v>
      </x:c>
      <x:c r="B24" s="269" t="str">
        <x:v>神经肌肉/探索</x:v>
      </x:c>
      <x:c r="C24" s="269" t="str">
        <x:v>SMA（探索性修饰因子，不是核心致病靶点）</x:v>
      </x:c>
      <x:c r="D24" s="269" t="str">
        <x:v>Survivin</x:v>
      </x:c>
      <x:c r="E24" s="269" t="str">
        <x:v>BIRC5</x:v>
      </x:c>
      <x:c r="F24" s="269" t="str">
        <x:v>ENSG00000089685</x:v>
      </x:c>
      <x:c r="G24" s="269" t="str">
        <x:v>O15392</x:v>
      </x:c>
      <x:c r="H24" s="269" t="str">
        <x:v>Homo sapiens</x:v>
      </x:c>
      <x:c r="I24" s="269" t="str">
        <x:v>缺失</x:v>
      </x:c>
      <x:c r="J24" s="269" t="str">
        <x:v>DOWNLOAD_OPTIONAL</x:v>
      </x:c>
      <x:c r="K24" s="269" t="str">
        <x:v>1XOX</x:v>
      </x:c>
      <x:c r="L24" s="269" t="str"/>
      <x:c r="M24" s="269" t="str">
        <x:v>Survivin 1–120 NMR 二聚体</x:v>
      </x:c>
      <x:c r="N24" s="269" t="str">
        <x:v>https://files.rcsb.org/download/1XOX.cif.gz</x:v>
      </x:c>
      <x:c r="O24" s="269" t="str">
        <x:v>https://files.rcsb.org/download/1XOX.pdb.gz</x:v>
      </x:c>
      <x:c r="P24" s="269" t="str">
        <x:v>https://www.rcsb.org/structure/1XOX</x:v>
      </x:c>
      <x:c r="Q24" s="269" t="str">
        <x:v>https://alphafold.ebi.ac.uk/api/prediction/O15392</x:v>
      </x:c>
      <x:c r="R24" s="270" t="str">
        <x:v>BIRC5 不能替代 SMN1/SMN2；仅作为探索性修饰因子。</x:v>
      </x:c>
    </x:row>
    <x:row r="25" ht="42" customHeight="1">
      <x:c r="A25" s="268" t="str">
        <x:v>P0</x:v>
      </x:c>
      <x:c r="B25" s="269" t="str">
        <x:v>罕见病/代谢</x:v>
      </x:c>
      <x:c r="C25" s="269" t="str">
        <x:v>Niemann–Pick disease type C</x:v>
      </x:c>
      <x:c r="D25" s="269" t="str">
        <x:v>Niemann-Pick C1 protein</x:v>
      </x:c>
      <x:c r="E25" s="269" t="str">
        <x:v>NPC1</x:v>
      </x:c>
      <x:c r="F25" s="269" t="str">
        <x:v>ENSG00000141458</x:v>
      </x:c>
      <x:c r="G25" s="269" t="str">
        <x:v>O15118</x:v>
      </x:c>
      <x:c r="H25" s="269" t="str">
        <x:v>Homo sapiens</x:v>
      </x:c>
      <x:c r="I25" s="269" t="str">
        <x:v>缺失</x:v>
      </x:c>
      <x:c r="J25" s="269" t="str">
        <x:v>DOWNLOAD</x:v>
      </x:c>
      <x:c r="K25" s="269" t="str">
        <x:v>3JD8</x:v>
      </x:c>
      <x:c r="L25" s="269" t="str">
        <x:v>5U73;5KWY</x:v>
      </x:c>
      <x:c r="M25" s="269" t="str">
        <x:v>全长跨膜 NPC1 cryo-EM</x:v>
      </x:c>
      <x:c r="N25" s="269" t="str">
        <x:v>https://files.rcsb.org/download/3JD8.cif.gz</x:v>
      </x:c>
      <x:c r="O25" s="269" t="str">
        <x:v>https://files.rcsb.org/download/3JD8.pdb.gz</x:v>
      </x:c>
      <x:c r="P25" s="269" t="str">
        <x:v>https://www.rcsb.org/structure/3JD8</x:v>
      </x:c>
      <x:c r="Q25" s="269" t="str">
        <x:v>https://alphafold.ebi.ac.uk/api/prediction/O15118</x:v>
      </x:c>
      <x:c r="R25" s="270" t="str">
        <x:v>3JD8 为全长但分辨率较低；5U73/5KWY 提供高分辨率腔内结构域。</x:v>
      </x:c>
    </x:row>
    <x:row r="26" ht="42" customHeight="1">
      <x:c r="A26" s="271" t="str">
        <x:v>P0</x:v>
      </x:c>
      <x:c r="B26" s="272" t="str">
        <x:v>罕见病/代谢</x:v>
      </x:c>
      <x:c r="C26" s="272" t="str">
        <x:v>Niemann–Pick disease type C</x:v>
      </x:c>
      <x:c r="D26" s="272" t="str">
        <x:v>Niemann-Pick C2 protein</x:v>
      </x:c>
      <x:c r="E26" s="272" t="str">
        <x:v>NPC2</x:v>
      </x:c>
      <x:c r="F26" s="272" t="str">
        <x:v>ENSG00000119655</x:v>
      </x:c>
      <x:c r="G26" s="272" t="str">
        <x:v>P61916</x:v>
      </x:c>
      <x:c r="H26" s="272" t="str">
        <x:v>Homo sapiens</x:v>
      </x:c>
      <x:c r="I26" s="272" t="str">
        <x:v>缺失</x:v>
      </x:c>
      <x:c r="J26" s="272" t="str">
        <x:v>DOWNLOAD</x:v>
      </x:c>
      <x:c r="K26" s="272" t="str">
        <x:v>5KWY</x:v>
      </x:c>
      <x:c r="L26" s="272" t="str"/>
      <x:c r="M26" s="272" t="str">
        <x:v>NPC2–NPC1 MLD 复合物</x:v>
      </x:c>
      <x:c r="N26" s="272" t="str">
        <x:v>https://files.rcsb.org/download/5KWY.cif.gz</x:v>
      </x:c>
      <x:c r="O26" s="272" t="str">
        <x:v>https://files.rcsb.org/download/5KWY.pdb.gz</x:v>
      </x:c>
      <x:c r="P26" s="272" t="str">
        <x:v>https://www.rcsb.org/structure/5KWY</x:v>
      </x:c>
      <x:c r="Q26" s="272" t="str">
        <x:v>https://alphafold.ebi.ac.uk/api/prediction/P61916</x:v>
      </x:c>
      <x:c r="R26" s="273" t="str">
        <x:v>5KWY 含完整人 NPC2；下载后可提取 NPC2 链 C/D。</x:v>
      </x:c>
    </x:row>
    <x:row r="28">
      <x:c r="A28" s="323" t="str">
        <x:v>注意：直接下载成功后仍须核验物种、UniProt、链、残基覆盖、构建体、突变、寡聚状态与 biological assembly。</x:v>
      </x:c>
      <x:c r="B28" s="323"/>
      <x:c r="C28" s="323"/>
      <x:c r="D28" s="323"/>
      <x:c r="E28" s="323"/>
      <x:c r="F28" s="323"/>
      <x:c r="G28" s="323"/>
      <x:c r="H28" s="323"/>
      <x:c r="I28" s="323"/>
      <x:c r="J28" s="323"/>
      <x:c r="K28" s="323"/>
      <x:c r="L28" s="323"/>
      <x:c r="M28" s="323"/>
      <x:c r="N28" s="323"/>
      <x:c r="O28" s="323"/>
      <x:c r="P28" s="323"/>
      <x:c r="Q28" s="323"/>
      <x:c r="R28" s="323"/>
    </x:row>
  </x:sheetData>
  <x:mergeCells>
    <x:mergeCell ref="A28:R28"/>
  </x:mergeCells>
  <x:conditionalFormatting sqref="A2:A26">
    <x:cfRule type="expression" dxfId="0" priority="1">
      <x:formula>A2="P0"</x:formula>
    </x:cfRule>
    <x:cfRule type="expression" dxfId="1" priority="2">
      <x:formula>A2="P2"</x:formula>
    </x:cfRule>
  </x:conditionalFormatting>
  <x:conditionalFormatting sqref="J2:J26">
    <x:cfRule type="expression" dxfId="2" priority="3">
      <x:formula>ISNUMBER(SEARCH("PROMOTE_ROUTE",J2))</x:formula>
    </x:cfRule>
    <x:cfRule type="expression" dxfId="3" priority="4">
      <x:formula>ISNUMBER(SEARCH("NO_EXPERIMENTAL_PDB",J2))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4d55a3f8ff4a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42" hidden="0" customWidth="1"/>
    <x:col min="5" max="5" width="40" hidden="0" customWidth="1"/>
    <x:col min="6" max="6" width="9" hidden="0" customWidth="1"/>
    <x:col min="7" max="7" width="13" hidden="0" customWidth="1"/>
    <x:col min="8" max="8" width="28" hidden="0" customWidth="1"/>
    <x:col min="9" max="9" width="36" hidden="0" customWidth="1"/>
    <x:col min="10" max="10" width="24" hidden="0" customWidth="1"/>
    <x:col min="11" max="11" width="26" hidden="0" customWidth="1"/>
    <x:col min="12" max="12" width="28" hidden="0" customWidth="1"/>
    <x:col min="13" max="13" width="18" hidden="0" customWidth="1"/>
  </x:cols>
  <x:sheetData>
    <x:row r="1" ht="34" customHeight="1">
      <x:c r="A1" s="243" t="str">
        <x:v>candidate_rank</x:v>
      </x:c>
      <x:c r="B1" s="243" t="str">
        <x:v>structure_source</x:v>
      </x:c>
      <x:c r="C1" s="243" t="str">
        <x:v>structure_id</x:v>
      </x:c>
      <x:c r="D1" s="243" t="str">
        <x:v>download_url</x:v>
      </x:c>
      <x:c r="E1" s="243" t="str">
        <x:v>filename</x:v>
      </x:c>
      <x:c r="F1" s="243" t="str">
        <x:v>priority</x:v>
      </x:c>
      <x:c r="G1" s="243" t="str">
        <x:v>enabled_default</x:v>
      </x:c>
      <x:c r="H1" s="243" t="str">
        <x:v>structure_scope</x:v>
      </x:c>
      <x:c r="I1" s="243" t="str">
        <x:v>review_note</x:v>
      </x:c>
      <x:c r="J1" s="243" t="str">
        <x:v>target_id</x:v>
      </x:c>
      <x:c r="K1" s="243" t="str">
        <x:v>target_name</x:v>
      </x:c>
      <x:c r="L1" s="243" t="str">
        <x:v>top_indications</x:v>
      </x:c>
      <x:c r="M1" s="243" t="str">
        <x:v>requires_scope_review</x:v>
      </x:c>
    </x:row>
    <x:row r="2" ht="42" customHeight="1">
      <x:c r="A2" s="265" t="n">
        <x:v>1</x:v>
      </x:c>
      <x:c r="B2" s="266" t="str">
        <x:v>RCSB</x:v>
      </x:c>
      <x:c r="C2" s="266" t="str">
        <x:v>1Z40</x:v>
      </x:c>
      <x:c r="D2" s="266" t="str">
        <x:v>https://files.rcsb.org/download/1Z40.cif.gz</x:v>
      </x:c>
      <x:c r="E2" s="266" t="str">
        <x:v>AMA1_PF3D7_1133400-RCSB-1Z40.cif.gz</x:v>
      </x:c>
      <x:c r="F2" s="266" t="str">
        <x:v>P0</x:v>
      </x:c>
      <x:c r="G2" s="266" t="str">
        <x:v>YES</x:v>
      </x:c>
      <x:c r="H2" s="266" t="str">
        <x:v>AMA1 domains I–II</x:v>
      </x:c>
      <x:c r="I2" s="266" t="str">
        <x:v>高分辨率功能片段，非完整前体。</x:v>
      </x:c>
      <x:c r="J2" s="266" t="str">
        <x:v>AMA1 / PF3D7_1133400</x:v>
      </x:c>
      <x:c r="K2" s="266" t="str">
        <x:v>Apical membrane antigen 1</x:v>
      </x:c>
      <x:c r="L2" s="266" t="str">
        <x:v>疟疾 / 侵袭抗原</x:v>
      </x:c>
      <x:c r="M2" s="267" t="str">
        <x:v>YES</x:v>
      </x:c>
    </x:row>
    <x:row r="3" ht="42" customHeight="1">
      <x:c r="A3" s="268" t="n">
        <x:v>1</x:v>
      </x:c>
      <x:c r="B3" s="269" t="str">
        <x:v>RCSB</x:v>
      </x:c>
      <x:c r="C3" s="269" t="str">
        <x:v>6LT0</x:v>
      </x:c>
      <x:c r="D3" s="269" t="str">
        <x:v>https://files.rcsb.org/download/6LT0.cif.gz</x:v>
      </x:c>
      <x:c r="E3" s="269" t="str">
        <x:v>C9ORF72-RCSB-6LT0.cif.gz</x:v>
      </x:c>
      <x:c r="F3" s="269" t="str">
        <x:v>P0</x:v>
      </x:c>
      <x:c r="G3" s="269" t="str">
        <x:v>YES</x:v>
      </x:c>
      <x:c r="H3" s="269" t="str">
        <x:v>C9orf72–SMCR8–WDR41 复合物</x:v>
      </x:c>
      <x:c r="I3" s="269" t="str">
        <x:v>复合物结构，适合保留生理伴侣后再提取 C9orf72 链。</x:v>
      </x:c>
      <x:c r="J3" s="269" t="str">
        <x:v>C9ORF72</x:v>
      </x:c>
      <x:c r="K3" s="269" t="str">
        <x:v>C9orf72</x:v>
      </x:c>
      <x:c r="L3" s="269" t="str">
        <x:v>ALS / 额颞叶痴呆 (FTD)</x:v>
      </x:c>
      <x:c r="M3" s="270" t="str">
        <x:v>YES</x:v>
      </x:c>
    </x:row>
    <x:row r="4" ht="42" customHeight="1">
      <x:c r="A4" s="268" t="n">
        <x:v>1</x:v>
      </x:c>
      <x:c r="B4" s="269" t="str">
        <x:v>RCSB</x:v>
      </x:c>
      <x:c r="C4" s="269" t="str">
        <x:v>7V05</x:v>
      </x:c>
      <x:c r="D4" s="269" t="str">
        <x:v>https://files.rcsb.org/download/7V05.cif.gz</x:v>
      </x:c>
      <x:c r="E4" s="269" t="str">
        <x:v>CSP_PF3D7_0304600-RCSB-7V05.cif.gz</x:v>
      </x:c>
      <x:c r="F4" s="269" t="str">
        <x:v>P0</x:v>
      </x:c>
      <x:c r="G4" s="269" t="str">
        <x:v>YES</x:v>
      </x:c>
      <x:c r="H4" s="269" t="str">
        <x:v>近全长 CSP–Fab 复合物</x:v>
      </x:c>
      <x:c r="I4" s="269" t="str">
        <x:v>含多拷贝 Fab；下载后应提取 CSP 链 Q。</x:v>
      </x:c>
      <x:c r="J4" s="269" t="str">
        <x:v>CSP / PF3D7_0304600</x:v>
      </x:c>
      <x:c r="K4" s="269" t="str">
        <x:v>Circumsporozoite protein</x:v>
      </x:c>
      <x:c r="L4" s="269" t="str">
        <x:v>疟疾 / 疫苗抗原</x:v>
      </x:c>
      <x:c r="M4" s="270" t="str">
        <x:v>YES</x:v>
      </x:c>
    </x:row>
    <x:row r="5" ht="42" customHeight="1">
      <x:c r="A5" s="268" t="n">
        <x:v>1</x:v>
      </x:c>
      <x:c r="B5" s="269" t="str">
        <x:v>RCSB</x:v>
      </x:c>
      <x:c r="C5" s="269" t="str">
        <x:v>3S5Z</x:v>
      </x:c>
      <x:c r="D5" s="269" t="str">
        <x:v>https://files.rcsb.org/download/3S5Z.cif.gz</x:v>
      </x:c>
      <x:c r="E5" s="269" t="str">
        <x:v>GLA-RCSB-3S5Z.cif.gz</x:v>
      </x:c>
      <x:c r="F5" s="269" t="str">
        <x:v>P0</x:v>
      </x:c>
      <x:c r="G5" s="269" t="str">
        <x:v>YES</x:v>
      </x:c>
      <x:c r="H5" s="269" t="str">
        <x:v>全长成熟酶二聚体</x:v>
      </x:c>
      <x:c r="I5" s="269" t="str">
        <x:v>人源 α-Gal A，适合酶替代/伴侣药与抗体检测相关建模。</x:v>
      </x:c>
      <x:c r="J5" s="269" t="str">
        <x:v>GLA</x:v>
      </x:c>
      <x:c r="K5" s="269" t="str">
        <x:v>Alpha-galactosidase A</x:v>
      </x:c>
      <x:c r="L5" s="269" t="str">
        <x:v>Fabry disease</x:v>
      </x:c>
      <x:c r="M5" s="270" t="str">
        <x:v>YES</x:v>
      </x:c>
    </x:row>
    <x:row r="6" ht="42" customHeight="1">
      <x:c r="A6" s="268" t="n">
        <x:v>1</x:v>
      </x:c>
      <x:c r="B6" s="269" t="str">
        <x:v>RCSB</x:v>
      </x:c>
      <x:c r="C6" s="269" t="str">
        <x:v>4GIZ</x:v>
      </x:c>
      <x:c r="D6" s="269" t="str">
        <x:v>https://files.rcsb.org/download/4GIZ.cif.gz</x:v>
      </x:c>
      <x:c r="E6" s="269" t="str">
        <x:v>HPV16_E6-RCSB-4GIZ.cif.gz</x:v>
      </x:c>
      <x:c r="F6" s="269" t="str">
        <x:v>P0</x:v>
      </x:c>
      <x:c r="G6" s="269" t="str">
        <x:v>YES</x:v>
      </x:c>
      <x:c r="H6" s="269" t="str">
        <x:v>近全长 E6–E6AP motif 复合物</x:v>
      </x:c>
      <x:c r="I6" s="269" t="str">
        <x:v>结构含融合/伴侣组分和突变，提取 E6 链并保留注释。</x:v>
      </x:c>
      <x:c r="J6" s="269" t="str">
        <x:v>HPV16 E6</x:v>
      </x:c>
      <x:c r="K6" s="269" t="str">
        <x:v>Oncoprotein E6</x:v>
      </x:c>
      <x:c r="L6" s="269" t="str">
        <x:v>HPV16 相关癌症</x:v>
      </x:c>
      <x:c r="M6" s="270" t="str">
        <x:v>YES</x:v>
      </x:c>
    </x:row>
    <x:row r="7" ht="42" customHeight="1">
      <x:c r="A7" s="268" t="n">
        <x:v>1</x:v>
      </x:c>
      <x:c r="B7" s="269" t="str">
        <x:v>RCSB</x:v>
      </x:c>
      <x:c r="C7" s="269" t="str">
        <x:v>6APN</x:v>
      </x:c>
      <x:c r="D7" s="269" t="str">
        <x:v>https://files.rcsb.org/download/6APN.cif.gz</x:v>
      </x:c>
      <x:c r="E7" s="269" t="str">
        <x:v>HPV16_E7-RCSB-6APN.cif.gz</x:v>
      </x:c>
      <x:c r="F7" s="269" t="str">
        <x:v>P0</x:v>
      </x:c>
      <x:c r="G7" s="269" t="str">
        <x:v>YES</x:v>
      </x:c>
      <x:c r="H7" s="269" t="str">
        <x:v>E7 肽–HLA 复合物</x:v>
      </x:c>
      <x:c r="I7" s="269" t="str">
        <x:v>没有可直接当作完整 HPV16 E7 抗原的实验结构；此项仅保存免疫表位构象。</x:v>
      </x:c>
      <x:c r="J7" s="269" t="str">
        <x:v>HPV16 E7</x:v>
      </x:c>
      <x:c r="K7" s="269" t="str">
        <x:v>Oncoprotein E7</x:v>
      </x:c>
      <x:c r="L7" s="269" t="str">
        <x:v>HPV16 相关癌症</x:v>
      </x:c>
      <x:c r="M7" s="270" t="str">
        <x:v>YES</x:v>
      </x:c>
    </x:row>
    <x:row r="8" ht="42" customHeight="1">
      <x:c r="A8" s="268" t="n">
        <x:v>1</x:v>
      </x:c>
      <x:c r="B8" s="269" t="str">
        <x:v>RCSB</x:v>
      </x:c>
      <x:c r="C8" s="269" t="str">
        <x:v>2R5H</x:v>
      </x:c>
      <x:c r="D8" s="269" t="str">
        <x:v>https://files.rcsb.org/download/2R5H.cif.gz</x:v>
      </x:c>
      <x:c r="E8" s="269" t="str">
        <x:v>HPV16_L1-RCSB-2R5H.cif.gz</x:v>
      </x:c>
      <x:c r="F8" s="269" t="str">
        <x:v>P0</x:v>
      </x:c>
      <x:c r="G8" s="269" t="str">
        <x:v>YES</x:v>
      </x:c>
      <x:c r="H8" s="269" t="str">
        <x:v>L1 五聚体抗原</x:v>
      </x:c>
      <x:c r="I8" s="269" t="str">
        <x:v>适用于中和抗体和 VLP 表面表位分析。</x:v>
      </x:c>
      <x:c r="J8" s="269" t="str">
        <x:v>HPV16 L1</x:v>
      </x:c>
      <x:c r="K8" s="269" t="str">
        <x:v>Major capsid protein L1</x:v>
      </x:c>
      <x:c r="L8" s="269" t="str">
        <x:v>HPV16 感染 / 宫颈癌预防</x:v>
      </x:c>
      <x:c r="M8" s="270" t="str">
        <x:v>YES</x:v>
      </x:c>
    </x:row>
    <x:row r="9" ht="42" customHeight="1">
      <x:c r="A9" s="268" t="n">
        <x:v>1</x:v>
      </x:c>
      <x:c r="B9" s="269" t="str">
        <x:v>RCSB</x:v>
      </x:c>
      <x:c r="C9" s="269" t="str">
        <x:v>6EZ8</x:v>
      </x:c>
      <x:c r="D9" s="269" t="str">
        <x:v>https://files.rcsb.org/download/6EZ8.cif.gz</x:v>
      </x:c>
      <x:c r="E9" s="269" t="str">
        <x:v>HTT-RCSB-6EZ8.cif.gz</x:v>
      </x:c>
      <x:c r="F9" s="269" t="str">
        <x:v>P0</x:v>
      </x:c>
      <x:c r="G9" s="269" t="str">
        <x:v>YES</x:v>
      </x:c>
      <x:c r="H9" s="269" t="str">
        <x:v>近全长 HTT–HAP40 复合物</x:v>
      </x:c>
      <x:c r="I9" s="269" t="str">
        <x:v>优先用于全蛋白构象；大型蛋白，建模前应按链/残基范围提取抗原。</x:v>
      </x:c>
      <x:c r="J9" s="269" t="str">
        <x:v>HTT</x:v>
      </x:c>
      <x:c r="K9" s="269" t="str">
        <x:v>Huntingtin</x:v>
      </x:c>
      <x:c r="L9" s="269" t="str">
        <x:v>亨廷顿病 (Huntington disease)</x:v>
      </x:c>
      <x:c r="M9" s="270" t="str">
        <x:v>YES</x:v>
      </x:c>
    </x:row>
    <x:row r="10" ht="42" customHeight="1">
      <x:c r="A10" s="268" t="n">
        <x:v>1</x:v>
      </x:c>
      <x:c r="B10" s="269" t="str">
        <x:v>RCSB</x:v>
      </x:c>
      <x:c r="C10" s="269" t="str">
        <x:v>5FQL</x:v>
      </x:c>
      <x:c r="D10" s="269" t="str">
        <x:v>https://files.rcsb.org/download/5FQL.cif.gz</x:v>
      </x:c>
      <x:c r="E10" s="269" t="str">
        <x:v>IDS-RCSB-5FQL.cif.gz</x:v>
      </x:c>
      <x:c r="F10" s="269" t="str">
        <x:v>P0</x:v>
      </x:c>
      <x:c r="G10" s="269" t="str">
        <x:v>YES</x:v>
      </x:c>
      <x:c r="H10" s="269" t="str">
        <x:v>全长成熟酶</x:v>
      </x:c>
      <x:c r="I10" s="269" t="str">
        <x:v>人源 IDS，2.30 Å。</x:v>
      </x:c>
      <x:c r="J10" s="269" t="str">
        <x:v>IDS</x:v>
      </x:c>
      <x:c r="K10" s="269" t="str">
        <x:v>Iduronate-2-sulfatase</x:v>
      </x:c>
      <x:c r="L10" s="269" t="str">
        <x:v>Mucopolysaccharidosis II (Hunter)</x:v>
      </x:c>
      <x:c r="M10" s="270" t="str">
        <x:v>YES</x:v>
      </x:c>
    </x:row>
    <x:row r="11" ht="42" customHeight="1">
      <x:c r="A11" s="268" t="n">
        <x:v>1</x:v>
      </x:c>
      <x:c r="B11" s="269" t="str">
        <x:v>RCSB</x:v>
      </x:c>
      <x:c r="C11" s="269" t="str">
        <x:v>3W81</x:v>
      </x:c>
      <x:c r="D11" s="269" t="str">
        <x:v>https://files.rcsb.org/download/3W81.cif.gz</x:v>
      </x:c>
      <x:c r="E11" s="269" t="str">
        <x:v>IDUA-RCSB-3W81.cif.gz</x:v>
      </x:c>
      <x:c r="F11" s="269" t="str">
        <x:v>P0</x:v>
      </x:c>
      <x:c r="G11" s="269" t="str">
        <x:v>YES</x:v>
      </x:c>
      <x:c r="H11" s="269" t="str">
        <x:v>全长成熟酶</x:v>
      </x:c>
      <x:c r="I11" s="269" t="str">
        <x:v>人源 IDUA，保留糖基化信息。</x:v>
      </x:c>
      <x:c r="J11" s="269" t="str">
        <x:v>IDUA</x:v>
      </x:c>
      <x:c r="K11" s="269" t="str">
        <x:v>Alpha-L-iduronidase</x:v>
      </x:c>
      <x:c r="L11" s="269" t="str">
        <x:v>Mucopolysaccharidosis I</x:v>
      </x:c>
      <x:c r="M11" s="270" t="str">
        <x:v>YES</x:v>
      </x:c>
    </x:row>
    <x:row r="12" ht="42" customHeight="1">
      <x:c r="A12" s="268" t="n">
        <x:v>1</x:v>
      </x:c>
      <x:c r="B12" s="269" t="str">
        <x:v>RCSB</x:v>
      </x:c>
      <x:c r="C12" s="269" t="str">
        <x:v>6ZBF</x:v>
      </x:c>
      <x:c r="D12" s="269" t="str">
        <x:v>https://files.rcsb.org/download/6ZBF.cif.gz</x:v>
      </x:c>
      <x:c r="E12" s="269" t="str">
        <x:v>MSP1_PF3D7_0930300-RCSB-6ZBF.cif.gz</x:v>
      </x:c>
      <x:c r="F12" s="269" t="str">
        <x:v>P0</x:v>
      </x:c>
      <x:c r="G12" s="269" t="str">
        <x:v>YES</x:v>
      </x:c>
      <x:c r="H12" s="269" t="str">
        <x:v>近全长 MSP1 cryo-EM</x:v>
      </x:c>
      <x:c r="I12" s="269" t="str">
        <x:v>6ZBF 为近全长构象；1B9W/8DFG 可作为抗体表位结构补充。</x:v>
      </x:c>
      <x:c r="J12" s="269" t="str">
        <x:v>MSP1 / PF3D7_0930300</x:v>
      </x:c>
      <x:c r="K12" s="269" t="str">
        <x:v>Merozoite surface protein 1</x:v>
      </x:c>
      <x:c r="L12" s="269" t="str">
        <x:v>疟疾 / 血期疫苗抗原</x:v>
      </x:c>
      <x:c r="M12" s="270" t="str">
        <x:v>YES</x:v>
      </x:c>
    </x:row>
    <x:row r="13" ht="42" customHeight="1">
      <x:c r="A13" s="268" t="n">
        <x:v>1</x:v>
      </x:c>
      <x:c r="B13" s="269" t="str">
        <x:v>RCSB</x:v>
      </x:c>
      <x:c r="C13" s="269" t="str">
        <x:v>3JD8</x:v>
      </x:c>
      <x:c r="D13" s="269" t="str">
        <x:v>https://files.rcsb.org/download/3JD8.cif.gz</x:v>
      </x:c>
      <x:c r="E13" s="269" t="str">
        <x:v>NPC1-RCSB-3JD8.cif.gz</x:v>
      </x:c>
      <x:c r="F13" s="269" t="str">
        <x:v>P0</x:v>
      </x:c>
      <x:c r="G13" s="269" t="str">
        <x:v>YES</x:v>
      </x:c>
      <x:c r="H13" s="269" t="str">
        <x:v>全长跨膜 NPC1 cryo-EM</x:v>
      </x:c>
      <x:c r="I13" s="269" t="str">
        <x:v>3JD8 为全长但分辨率较低；5U73/5KWY 提供高分辨率腔内结构域。</x:v>
      </x:c>
      <x:c r="J13" s="269" t="str">
        <x:v>NPC1</x:v>
      </x:c>
      <x:c r="K13" s="269" t="str">
        <x:v>Niemann-Pick C1 protein</x:v>
      </x:c>
      <x:c r="L13" s="269" t="str">
        <x:v>Niemann–Pick disease type C</x:v>
      </x:c>
      <x:c r="M13" s="270" t="str">
        <x:v>YES</x:v>
      </x:c>
    </x:row>
    <x:row r="14" ht="42" customHeight="1">
      <x:c r="A14" s="268" t="n">
        <x:v>1</x:v>
      </x:c>
      <x:c r="B14" s="269" t="str">
        <x:v>RCSB</x:v>
      </x:c>
      <x:c r="C14" s="269" t="str">
        <x:v>5KWY</x:v>
      </x:c>
      <x:c r="D14" s="269" t="str">
        <x:v>https://files.rcsb.org/download/5KWY.cif.gz</x:v>
      </x:c>
      <x:c r="E14" s="269" t="str">
        <x:v>NPC2-RCSB-5KWY.cif.gz</x:v>
      </x:c>
      <x:c r="F14" s="269" t="str">
        <x:v>P0</x:v>
      </x:c>
      <x:c r="G14" s="269" t="str">
        <x:v>YES</x:v>
      </x:c>
      <x:c r="H14" s="269" t="str">
        <x:v>NPC2–NPC1 MLD 复合物</x:v>
      </x:c>
      <x:c r="I14" s="269" t="str">
        <x:v>5KWY 含完整人 NPC2；下载后可提取 NPC2 链 C/D。</x:v>
      </x:c>
      <x:c r="J14" s="269" t="str">
        <x:v>NPC2</x:v>
      </x:c>
      <x:c r="K14" s="269" t="str">
        <x:v>Niemann-Pick C2 protein</x:v>
      </x:c>
      <x:c r="L14" s="269" t="str">
        <x:v>Niemann–Pick disease type C</x:v>
      </x:c>
      <x:c r="M14" s="270" t="str">
        <x:v>YES</x:v>
      </x:c>
    </x:row>
    <x:row r="15" ht="42" customHeight="1">
      <x:c r="A15" s="268" t="n">
        <x:v>1</x:v>
      </x:c>
      <x:c r="B15" s="269" t="str">
        <x:v>RCSB</x:v>
      </x:c>
      <x:c r="C15" s="269" t="str">
        <x:v>4WAT</x:v>
      </x:c>
      <x:c r="D15" s="269" t="str">
        <x:v>https://files.rcsb.org/download/4WAT.cif.gz</x:v>
      </x:c>
      <x:c r="E15" s="269" t="str">
        <x:v>RH5_PF3D7_0424100-RCSB-4WAT.cif.gz</x:v>
      </x:c>
      <x:c r="F15" s="269" t="str">
        <x:v>P0</x:v>
      </x:c>
      <x:c r="G15" s="269" t="str">
        <x:v>YES</x:v>
      </x:c>
      <x:c r="H15" s="269" t="str">
        <x:v>可溶性 RH5 抗原</x:v>
      </x:c>
      <x:c r="I15" s="269" t="str">
        <x:v>4WAT 为 2.18 Å RH5；4U0Q 含 Basigin/阻断抗体复合物。</x:v>
      </x:c>
      <x:c r="J15" s="269" t="str">
        <x:v>RH5 / PF3D7_0424100</x:v>
      </x:c>
      <x:c r="K15" s="269" t="str">
        <x:v>Reticulocyte-binding protein homologue 5</x:v>
      </x:c>
      <x:c r="L15" s="269" t="str">
        <x:v>疟疾 / 红细胞侵袭</x:v>
      </x:c>
      <x:c r="M15" s="270" t="str">
        <x:v>YES</x:v>
      </x:c>
    </x:row>
    <x:row r="16" ht="42" customHeight="1">
      <x:c r="A16" s="268" t="n">
        <x:v>1</x:v>
      </x:c>
      <x:c r="B16" s="269" t="str">
        <x:v>RCSB</x:v>
      </x:c>
      <x:c r="C16" s="269" t="str">
        <x:v>6BC0</x:v>
      </x:c>
      <x:c r="D16" s="269" t="str">
        <x:v>https://files.rcsb.org/download/6BC0.cif.gz</x:v>
      </x:c>
      <x:c r="E16" s="269" t="str">
        <x:v>RHOA-RCSB-6BC0.cif.gz</x:v>
      </x:c>
      <x:c r="F16" s="269" t="str">
        <x:v>P0</x:v>
      </x:c>
      <x:c r="G16" s="269" t="str">
        <x:v>YES</x:v>
      </x:c>
      <x:c r="H16" s="269" t="str">
        <x:v>全长小 GTPase</x:v>
      </x:c>
      <x:c r="I16" s="269" t="str">
        <x:v>“Cethrin”是候选治疗蛋白/药物，不是靶点；实际通路靶点应记录 RHOA。</x:v>
      </x:c>
      <x:c r="J16" s="269" t="str">
        <x:v>RHOA</x:v>
      </x:c>
      <x:c r="K16" s="269" t="str">
        <x:v>RhoA</x:v>
      </x:c>
      <x:c r="L16" s="269" t="str">
        <x:v>脊髓损伤 / Rho 通路</x:v>
      </x:c>
      <x:c r="M16" s="270" t="str">
        <x:v>YES</x:v>
      </x:c>
    </x:row>
    <x:row r="17" ht="42" customHeight="1">
      <x:c r="A17" s="268" t="n">
        <x:v>1</x:v>
      </x:c>
      <x:c r="B17" s="269" t="str">
        <x:v>RCSB</x:v>
      </x:c>
      <x:c r="C17" s="269" t="str">
        <x:v>2KO2</x:v>
      </x:c>
      <x:c r="D17" s="269" t="str">
        <x:v>https://files.rcsb.org/download/2KO2.cif.gz</x:v>
      </x:c>
      <x:c r="E17" s="269" t="str">
        <x:v>RTN4-RCSB-2KO2.cif.gz</x:v>
      </x:c>
      <x:c r="F17" s="269" t="str">
        <x:v>P0</x:v>
      </x:c>
      <x:c r="G17" s="269" t="str">
        <x:v>YES</x:v>
      </x:c>
      <x:c r="H17" s="269" t="str">
        <x:v>Nogo-66 extracellular domain, NMR in DPC micelles</x:v>
      </x:c>
      <x:c r="I17" s="269" t="str">
        <x:v>Corrected: 1P8T is RTN4R; 2KO2 is experimental Nogo-66/RTN4.</x:v>
      </x:c>
      <x:c r="J17" s="269" t="str">
        <x:v>RTN4</x:v>
      </x:c>
      <x:c r="K17" s="269" t="str">
        <x:v>Nogo-66</x:v>
      </x:c>
      <x:c r="L17" s="269" t="str">
        <x:v>脊髓损伤 / 轴突再生抑制</x:v>
      </x:c>
      <x:c r="M17" s="270" t="str">
        <x:v>YES</x:v>
      </x:c>
    </x:row>
    <x:row r="18" ht="42" customHeight="1">
      <x:c r="A18" s="268" t="n">
        <x:v>1</x:v>
      </x:c>
      <x:c r="B18" s="269" t="str">
        <x:v>RCSB</x:v>
      </x:c>
      <x:c r="C18" s="269" t="str">
        <x:v>1OZN</x:v>
      </x:c>
      <x:c r="D18" s="269" t="str">
        <x:v>https://files.rcsb.org/download/1OZN.cif.gz</x:v>
      </x:c>
      <x:c r="E18" s="269" t="str">
        <x:v>RTN4R-RCSB-1OZN.cif.gz</x:v>
      </x:c>
      <x:c r="F18" s="269" t="str">
        <x:v>P0</x:v>
      </x:c>
      <x:c r="G18" s="269" t="str">
        <x:v>YES</x:v>
      </x:c>
      <x:c r="H18" s="269" t="str">
        <x:v>胞外 LRR 配体结合结构域</x:v>
      </x:c>
      <x:c r="I18" s="269" t="str">
        <x:v>用于抗体/配体设计时应保留胞外域。</x:v>
      </x:c>
      <x:c r="J18" s="269" t="str">
        <x:v>RTN4R</x:v>
      </x:c>
      <x:c r="K18" s="269" t="str">
        <x:v>Nogo receptor 1</x:v>
      </x:c>
      <x:c r="L18" s="269" t="str">
        <x:v>脊髓损伤 / 轴突再生抑制</x:v>
      </x:c>
      <x:c r="M18" s="270" t="str">
        <x:v>YES</x:v>
      </x:c>
    </x:row>
    <x:row r="19" ht="42" customHeight="1">
      <x:c r="A19" s="268" t="n">
        <x:v>1</x:v>
      </x:c>
      <x:c r="B19" s="269" t="str">
        <x:v>RCSB</x:v>
      </x:c>
      <x:c r="C19" s="269" t="str">
        <x:v>4GLI</x:v>
      </x:c>
      <x:c r="D19" s="269" t="str">
        <x:v>https://files.rcsb.org/download/4GLI.cif.gz</x:v>
      </x:c>
      <x:c r="E19" s="269" t="str">
        <x:v>SMN1-RCSB-4GLI.cif.gz</x:v>
      </x:c>
      <x:c r="F19" s="269" t="str">
        <x:v>P0</x:v>
      </x:c>
      <x:c r="G19" s="269" t="str">
        <x:v>YES</x:v>
      </x:c>
      <x:c r="H19" s="269" t="str">
        <x:v>YG-box 寡聚化结构域</x:v>
      </x:c>
      <x:c r="I19" s="269" t="str">
        <x:v>4GLI 是融合构建体中的 SMN YG-box，并非完整 SMN。</x:v>
      </x:c>
      <x:c r="J19" s="269" t="str">
        <x:v>SMN1 | SMN2</x:v>
      </x:c>
      <x:c r="K19" s="269" t="str">
        <x:v>Survival motor neuron protein 1 | Survival motor neuron protein 2</x:v>
      </x:c>
      <x:c r="L19" s="269" t="str">
        <x:v>Spinal muscular atrophy</x:v>
      </x:c>
      <x:c r="M19" s="270" t="str">
        <x:v>YES</x:v>
      </x:c>
    </x:row>
    <x:row r="20" ht="42" customHeight="1">
      <x:c r="A20" s="268" t="n">
        <x:v>1</x:v>
      </x:c>
      <x:c r="B20" s="269" t="str">
        <x:v>RCSB</x:v>
      </x:c>
      <x:c r="C20" s="269" t="str">
        <x:v>2C9V</x:v>
      </x:c>
      <x:c r="D20" s="269" t="str">
        <x:v>https://files.rcsb.org/download/2C9V.cif.gz</x:v>
      </x:c>
      <x:c r="E20" s="269" t="str">
        <x:v>SOD1-RCSB-2C9V.cif.gz</x:v>
      </x:c>
      <x:c r="F20" s="269" t="str">
        <x:v>P0</x:v>
      </x:c>
      <x:c r="G20" s="269" t="str">
        <x:v>YES</x:v>
      </x:c>
      <x:c r="H20" s="269" t="str">
        <x:v>野生型全长同源二聚体</x:v>
      </x:c>
      <x:c r="I20" s="269" t="str">
        <x:v>2C9V 为高分辨率 Cu-Zn 野生型结构。</x:v>
      </x:c>
      <x:c r="J20" s="269" t="str">
        <x:v>SOD1</x:v>
      </x:c>
      <x:c r="K20" s="269" t="str">
        <x:v>Superoxide dismutase 1</x:v>
      </x:c>
      <x:c r="L20" s="269" t="str">
        <x:v>肌萎缩侧索硬化症 (ALS)</x:v>
      </x:c>
      <x:c r="M20" s="270" t="str">
        <x:v>YES</x:v>
      </x:c>
    </x:row>
    <x:row r="21" ht="42" customHeight="1">
      <x:c r="A21" s="268" t="n">
        <x:v>1</x:v>
      </x:c>
      <x:c r="B21" s="269" t="str">
        <x:v>RCSB</x:v>
      </x:c>
      <x:c r="C21" s="269" t="str">
        <x:v>4BS2</x:v>
      </x:c>
      <x:c r="D21" s="269" t="str">
        <x:v>https://files.rcsb.org/download/4BS2.cif.gz</x:v>
      </x:c>
      <x:c r="E21" s="269" t="str">
        <x:v>TARDBP-RCSB-4BS2.cif.gz</x:v>
      </x:c>
      <x:c r="F21" s="269" t="str">
        <x:v>P0</x:v>
      </x:c>
      <x:c r="G21" s="269" t="str">
        <x:v>YES</x:v>
      </x:c>
      <x:c r="H21" s="269" t="str">
        <x:v>RNA-recognition motif/domain</x:v>
      </x:c>
      <x:c r="I21" s="269" t="str">
        <x:v>仅为结构域，不可标为完整 TDP-43 抗原。</x:v>
      </x:c>
      <x:c r="J21" s="269" t="str">
        <x:v>TARDBP</x:v>
      </x:c>
      <x:c r="K21" s="269" t="str">
        <x:v>TDP-43</x:v>
      </x:c>
      <x:c r="L21" s="269" t="str">
        <x:v>ALS / FTD</x:v>
      </x:c>
      <x:c r="M21" s="270" t="str">
        <x:v>YES</x:v>
      </x:c>
    </x:row>
    <x:row r="22" ht="42" customHeight="1">
      <x:c r="A22" s="268" t="n">
        <x:v>1</x:v>
      </x:c>
      <x:c r="B22" s="269" t="str">
        <x:v>RCSB</x:v>
      </x:c>
      <x:c r="C22" s="269" t="str">
        <x:v>1A8D</x:v>
      </x:c>
      <x:c r="D22" s="269" t="str">
        <x:v>https://files.rcsb.org/download/1A8D.cif.gz</x:v>
      </x:c>
      <x:c r="E22" s="269" t="str">
        <x:v>TeNT_tetX-RCSB-1A8D.cif.gz</x:v>
      </x:c>
      <x:c r="F22" s="269" t="str">
        <x:v>P0</x:v>
      </x:c>
      <x:c r="G22" s="269" t="str">
        <x:v>YES</x:v>
      </x:c>
      <x:c r="H22" s="269" t="str">
        <x:v>受体结合 C 端抗原片段</x:v>
      </x:c>
      <x:c r="I22" s="269" t="str">
        <x:v>1A8D 是高分辨率 Hc 抗原；如需全长失活毒素可同时保存 7BY5。</x:v>
      </x:c>
      <x:c r="J22" s="269" t="str">
        <x:v>TeNT / tetX</x:v>
      </x:c>
      <x:c r="K22" s="269" t="str">
        <x:v>Tetanus neurotoxin Hc fragment</x:v>
      </x:c>
      <x:c r="L22" s="269" t="str">
        <x:v>破伤风</x:v>
      </x:c>
      <x:c r="M22" s="270" t="str">
        <x:v>YES</x:v>
      </x:c>
    </x:row>
    <x:row r="23" ht="42" customHeight="1">
      <x:c r="A23" s="271" t="n">
        <x:v>1</x:v>
      </x:c>
      <x:c r="B23" s="272" t="str">
        <x:v>RCSB</x:v>
      </x:c>
      <x:c r="C23" s="272" t="str">
        <x:v>1XOX</x:v>
      </x:c>
      <x:c r="D23" s="272" t="str">
        <x:v>https://files.rcsb.org/download/1XOX.cif.gz</x:v>
      </x:c>
      <x:c r="E23" s="272" t="str">
        <x:v>BIRC5-RCSB-1XOX.cif.gz</x:v>
      </x:c>
      <x:c r="F23" s="272" t="str">
        <x:v>P2</x:v>
      </x:c>
      <x:c r="G23" s="272" t="str">
        <x:v>NO</x:v>
      </x:c>
      <x:c r="H23" s="272" t="str">
        <x:v>Survivin 1–120 NMR 二聚体</x:v>
      </x:c>
      <x:c r="I23" s="272" t="str">
        <x:v>BIRC5 不能替代 SMN1/SMN2；仅作为探索性修饰因子。</x:v>
      </x:c>
      <x:c r="J23" s="272" t="str">
        <x:v>BIRC5</x:v>
      </x:c>
      <x:c r="K23" s="272" t="str">
        <x:v>Survivin</x:v>
      </x:c>
      <x:c r="L23" s="272" t="str">
        <x:v>SMA（探索性修饰因子，不是核心致病靶点）</x:v>
      </x:c>
      <x:c r="M23" s="273" t="str">
        <x:v>YES</x:v>
      </x:c>
    </x:row>
    <x:row r="25">
      <x:c r="A25" s="323" t="str">
        <x:v>注意：直接下载成功后仍须核验物种、UniProt、链、残基覆盖、构建体、突变、寡聚状态与 biological assembly。</x:v>
      </x:c>
      <x:c r="B25" s="323"/>
      <x:c r="C25" s="323"/>
      <x:c r="D25" s="323"/>
      <x:c r="E25" s="323"/>
      <x:c r="F25" s="323"/>
      <x:c r="G25" s="323"/>
      <x:c r="H25" s="323"/>
      <x:c r="I25" s="323"/>
      <x:c r="J25" s="323"/>
      <x:c r="K25" s="323"/>
      <x:c r="L25" s="323"/>
      <x:c r="M25" s="323"/>
    </x:row>
  </x:sheetData>
  <x:mergeCells>
    <x:mergeCell ref="A25:M25"/>
  </x:mergeCells>
  <x:conditionalFormatting sqref="G2:G23">
    <x:cfRule type="expression" dxfId="4" priority="1">
      <x:formula>G2="YES"</x:formula>
    </x:cfRule>
    <x:cfRule type="expression" dxfId="5" priority="2">
      <x:formula>G2="NO"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896a6c4aeb44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34" customHeight="1">
      <x:c r="A1" s="243" t="str">
        <x:v>官方基因/靶点ID</x:v>
      </x:c>
      <x:c r="B1" s="243" t="str">
        <x:v>靶点名称</x:v>
      </x:c>
      <x:c r="C1" s="243" t="str">
        <x:v>别名</x:v>
      </x:c>
      <x:c r="D1" s="243" t="str">
        <x:v>物种</x:v>
      </x:c>
      <x:c r="E1" s="243" t="str">
        <x:v>本地PDB</x:v>
      </x:c>
      <x:c r="F1" s="243" t="str">
        <x:v>本地文件</x:v>
      </x:c>
      <x:c r="G1" s="243" t="str">
        <x:v>建议动作</x:v>
      </x:c>
      <x:c r="H1" s="243" t="str">
        <x:v>下载动作</x:v>
      </x:c>
      <x:c r="I1" s="243" t="str">
        <x:v>说明</x:v>
      </x:c>
    </x:row>
    <x:row r="2" ht="42" customHeight="1">
      <x:c r="A2" s="265" t="str">
        <x:v>ACVR2B</x:v>
      </x:c>
      <x:c r="B2" s="266" t="str">
        <x:v>ActRIIB</x:v>
      </x:c>
      <x:c r="C2" s="266" t="str">
        <x:v>ACVR2B, ACTRIIB, Activin receptor type-2B</x:v>
      </x:c>
      <x:c r="D2" s="266" t="str">
        <x:v>Homo sapiens</x:v>
      </x:c>
      <x:c r="E2" s="266" t="str">
        <x:v>5NHR</x:v>
      </x:c>
      <x:c r="F2" s="266" t="str">
        <x:v>METABOLIB-HUMAN-ACTRIIB-FV-RCSB-5NHR.pdb</x:v>
      </x:c>
      <x:c r="G2" s="304" t="str">
        <x:v>PROMOTE_ROUTE</x:v>
      </x:c>
      <x:c r="H2" s="266" t="str">
        <x:v>SKIP_DOWNLOAD</x:v>
      </x:c>
      <x:c r="I2" s="267" t="str">
        <x:v>结构已在 libraryAssets 中，但未进入正式 prompt/route 清单。</x:v>
      </x:c>
    </x:row>
    <x:row r="3" ht="42" customHeight="1">
      <x:c r="A3" s="268" t="str">
        <x:v>CEACAM6</x:v>
      </x:c>
      <x:c r="B3" s="269" t="str">
        <x:v>CEACAM6</x:v>
      </x:c>
      <x:c r="C3" s="269" t="str"/>
      <x:c r="D3" s="269" t="str">
        <x:v>Homo sapiens</x:v>
      </x:c>
      <x:c r="E3" s="269" t="str">
        <x:v>4WHC</x:v>
      </x:c>
      <x:c r="F3" s="269" t="str">
        <x:v>SOLIDLIB-HUMAN-CEACAM6-RCSB-4WHC.pdb</x:v>
      </x:c>
      <x:c r="G3" s="305" t="str">
        <x:v>PROMOTE_ROUTE</x:v>
      </x:c>
      <x:c r="H3" s="269" t="str">
        <x:v>SKIP_DOWNLOAD</x:v>
      </x:c>
      <x:c r="I3" s="270" t="str">
        <x:v>结构已在 libraryAssets 中，但未进入正式 prompt/route 清单。</x:v>
      </x:c>
    </x:row>
    <x:row r="4" ht="42" customHeight="1">
      <x:c r="A4" s="268" t="str">
        <x:v>DKK1</x:v>
      </x:c>
      <x:c r="B4" s="269" t="str">
        <x:v>DKK1</x:v>
      </x:c>
      <x:c r="C4" s="269" t="str">
        <x:v>Dickkopf-related protein 1</x:v>
      </x:c>
      <x:c r="D4" s="269" t="str">
        <x:v>Homo sapiens</x:v>
      </x:c>
      <x:c r="E4" s="269" t="str">
        <x:v>5GJE</x:v>
      </x:c>
      <x:c r="F4" s="269" t="str">
        <x:v>BONELIB-HUMAN-DKK1-RCSB-5GJE.pdb</x:v>
      </x:c>
      <x:c r="G4" s="305" t="str">
        <x:v>PROMOTE_ROUTE</x:v>
      </x:c>
      <x:c r="H4" s="269" t="str">
        <x:v>SKIP_DOWNLOAD</x:v>
      </x:c>
      <x:c r="I4" s="270" t="str">
        <x:v>结构已在 libraryAssets 中，但未进入正式 prompt/route 清单。</x:v>
      </x:c>
    </x:row>
    <x:row r="5" ht="42" customHeight="1">
      <x:c r="A5" s="268" t="str">
        <x:v>EPCAM</x:v>
      </x:c>
      <x:c r="B5" s="269" t="str">
        <x:v>EpCAM</x:v>
      </x:c>
      <x:c r="C5" s="269" t="str">
        <x:v>EPCAM, TACSTD1</x:v>
      </x:c>
      <x:c r="D5" s="269" t="str">
        <x:v>Homo sapiens</x:v>
      </x:c>
      <x:c r="E5" s="269" t="str">
        <x:v>6I07</x:v>
      </x:c>
      <x:c r="F5" s="269" t="str">
        <x:v>SOLIDLIB-HUMAN-EPCAM-SCFV-RCSB-6I07.pdb</x:v>
      </x:c>
      <x:c r="G5" s="305" t="str">
        <x:v>PROMOTE_ROUTE</x:v>
      </x:c>
      <x:c r="H5" s="269" t="str">
        <x:v>SKIP_DOWNLOAD</x:v>
      </x:c>
      <x:c r="I5" s="270" t="str">
        <x:v>结构已在 libraryAssets 中，但未进入正式 prompt/route 清单。</x:v>
      </x:c>
    </x:row>
    <x:row r="6" ht="42" customHeight="1">
      <x:c r="A6" s="268" t="str">
        <x:v>GBA1</x:v>
      </x:c>
      <x:c r="B6" s="269" t="str">
        <x:v>GBA</x:v>
      </x:c>
      <x:c r="C6" s="269" t="str">
        <x:v>GBA1, Glucocerebrosidase, Acid beta-glucosidase</x:v>
      </x:c>
      <x:c r="D6" s="269" t="str">
        <x:v>Homo sapiens</x:v>
      </x:c>
      <x:c r="E6" s="269" t="str">
        <x:v>1OGS</x:v>
      </x:c>
      <x:c r="F6" s="269" t="str">
        <x:v>NEUROLIB-HUMAN-GBA-RCSB-1OGS.pdb</x:v>
      </x:c>
      <x:c r="G6" s="305" t="str">
        <x:v>PROMOTE_ROUTE</x:v>
      </x:c>
      <x:c r="H6" s="269" t="str">
        <x:v>SKIP_DOWNLOAD</x:v>
      </x:c>
      <x:c r="I6" s="270" t="str">
        <x:v>结构已在 libraryAssets 中，但未进入正式 prompt/route 清单。</x:v>
      </x:c>
    </x:row>
    <x:row r="7" ht="42" customHeight="1">
      <x:c r="A7" s="268" t="str">
        <x:v>GPC3</x:v>
      </x:c>
      <x:c r="B7" s="269" t="str">
        <x:v>GPC3</x:v>
      </x:c>
      <x:c r="C7" s="269" t="str">
        <x:v>Glypican-3</x:v>
      </x:c>
      <x:c r="D7" s="269" t="str">
        <x:v>Homo sapiens</x:v>
      </x:c>
      <x:c r="E7" s="269" t="str">
        <x:v>9NTQ;9NTT</x:v>
      </x:c>
      <x:c r="F7" s="269" t="str">
        <x:v>SOLIDLIB-HUMAN-GPC3-RCSB-9NTQ.pdb;SOLIDLIB-HUMAN-GPC3-RCSB-9NTT.pdb</x:v>
      </x:c>
      <x:c r="G7" s="305" t="str">
        <x:v>PROMOTE_ROUTE</x:v>
      </x:c>
      <x:c r="H7" s="269" t="str">
        <x:v>SKIP_DOWNLOAD</x:v>
      </x:c>
      <x:c r="I7" s="270" t="str">
        <x:v>结构已在 libraryAssets 中，但未进入正式 prompt/route 清单。</x:v>
      </x:c>
    </x:row>
    <x:row r="8" ht="42" customHeight="1">
      <x:c r="A8" s="268" t="str">
        <x:v>IGF1R</x:v>
      </x:c>
      <x:c r="B8" s="269" t="str">
        <x:v>IGF1R</x:v>
      </x:c>
      <x:c r="C8" s="269" t="str">
        <x:v>Insulin-like growth factor 1 receptor, IGF-1 receptor</x:v>
      </x:c>
      <x:c r="D8" s="269" t="str">
        <x:v>Homo sapiens</x:v>
      </x:c>
      <x:c r="E8" s="269" t="str">
        <x:v>7XGD;5U8R</x:v>
      </x:c>
      <x:c r="F8" s="269" t="str">
        <x:v>ENDOCRINELIB-HUMAN-IGF1R-RCSB-7XGD.pdb;ENDOCRINELIB-HUMAN-IGF1R-FV-RCSB-5U8R.pdb</x:v>
      </x:c>
      <x:c r="G8" s="305" t="str">
        <x:v>PROMOTE_ROUTE</x:v>
      </x:c>
      <x:c r="H8" s="269" t="str">
        <x:v>SKIP_DOWNLOAD</x:v>
      </x:c>
      <x:c r="I8" s="270" t="str">
        <x:v>结构已在 libraryAssets 中，但未进入正式 prompt/route 清单。</x:v>
      </x:c>
    </x:row>
    <x:row r="9" ht="42" customHeight="1">
      <x:c r="A9" s="268" t="str">
        <x:v>LRRK2</x:v>
      </x:c>
      <x:c r="B9" s="269" t="str">
        <x:v>LRRK2</x:v>
      </x:c>
      <x:c r="C9" s="269" t="str">
        <x:v>Leucine-rich repeat serine/threonine-protein kinase 2</x:v>
      </x:c>
      <x:c r="D9" s="269" t="str">
        <x:v>Homo sapiens</x:v>
      </x:c>
      <x:c r="E9" s="269" t="str">
        <x:v>7LHT</x:v>
      </x:c>
      <x:c r="F9" s="269" t="str">
        <x:v>NEUROLIB-HUMAN-LRRK2-RCSB-7LHT.pdb</x:v>
      </x:c>
      <x:c r="G9" s="305" t="str">
        <x:v>PROMOTE_ROUTE</x:v>
      </x:c>
      <x:c r="H9" s="269" t="str">
        <x:v>SKIP_DOWNLOAD</x:v>
      </x:c>
      <x:c r="I9" s="270" t="str">
        <x:v>结构已在 libraryAssets 中，但未进入正式 prompt/route 清单。</x:v>
      </x:c>
    </x:row>
    <x:row r="10" ht="42" customHeight="1">
      <x:c r="A10" s="268" t="str">
        <x:v>SOST</x:v>
      </x:c>
      <x:c r="B10" s="269" t="str">
        <x:v>SOST</x:v>
      </x:c>
      <x:c r="C10" s="269" t="str">
        <x:v>Sclerostin</x:v>
      </x:c>
      <x:c r="D10" s="269" t="str">
        <x:v>Homo sapiens</x:v>
      </x:c>
      <x:c r="E10" s="269" t="str">
        <x:v>2K8P;6L6R</x:v>
      </x:c>
      <x:c r="F10" s="269" t="str">
        <x:v>BONELIB-HUMAN-SOST-RCSB-2K8P.pdb;BONELIB-HUMAN-SOST-LRP6-RCSB-6L6R.pdb</x:v>
      </x:c>
      <x:c r="G10" s="305" t="str">
        <x:v>PROMOTE_ROUTE</x:v>
      </x:c>
      <x:c r="H10" s="269" t="str">
        <x:v>SKIP_DOWNLOAD</x:v>
      </x:c>
      <x:c r="I10" s="270" t="str">
        <x:v>结构已在 libraryAssets 中，但未进入正式 prompt/route 清单。</x:v>
      </x:c>
    </x:row>
    <x:row r="11" ht="42" customHeight="1">
      <x:c r="A11" s="268" t="str">
        <x:v>TNFSF11</x:v>
      </x:c>
      <x:c r="B11" s="269" t="str">
        <x:v>RANKL</x:v>
      </x:c>
      <x:c r="C11" s="269" t="str">
        <x:v>TNFSF11, TRANCE, Receptor activator of nuclear factor kappa-B ligand</x:v>
      </x:c>
      <x:c r="D11" s="269" t="str">
        <x:v>Homo sapiens</x:v>
      </x:c>
      <x:c r="E11" s="269" t="str">
        <x:v>3URF</x:v>
      </x:c>
      <x:c r="F11" s="269" t="str">
        <x:v>BONELIB-HUMAN-RANKL-RCSB-3URF.pdb</x:v>
      </x:c>
      <x:c r="G11" s="305" t="str">
        <x:v>PROMOTE_ROUTE</x:v>
      </x:c>
      <x:c r="H11" s="269" t="str">
        <x:v>SKIP_DOWNLOAD</x:v>
      </x:c>
      <x:c r="I11" s="270" t="str">
        <x:v>结构已在 libraryAssets 中，但未进入正式 prompt/route 清单。</x:v>
      </x:c>
    </x:row>
    <x:row r="12" ht="42" customHeight="1">
      <x:c r="A12" s="271" t="str">
        <x:v>VTCN1</x:v>
      </x:c>
      <x:c r="B12" s="272" t="str">
        <x:v>B7-H4</x:v>
      </x:c>
      <x:c r="C12" s="272" t="str">
        <x:v>VTCN1</x:v>
      </x:c>
      <x:c r="D12" s="272" t="str">
        <x:v>Homo sapiens</x:v>
      </x:c>
      <x:c r="E12" s="272" t="str">
        <x:v>4GOS</x:v>
      </x:c>
      <x:c r="F12" s="272" t="str">
        <x:v>SOLIDLIB-HUMAN-B7H4-RCSB-4GOS.pdb</x:v>
      </x:c>
      <x:c r="G12" s="306" t="str">
        <x:v>PROMOTE_ROUTE</x:v>
      </x:c>
      <x:c r="H12" s="272" t="str">
        <x:v>SKIP_DOWNLOAD</x:v>
      </x:c>
      <x:c r="I12" s="273" t="str">
        <x:v>结构已在 libraryAssets 中，但未进入正式 prompt/route 清单。</x:v>
      </x:c>
    </x:row>
  </x:sheetData>
  <x:pageMargins left="0.7" right="0.7" top="0.75" bottom="0.75" header="0.3" footer="0.3"/>
  <x:tableParts count="1">
    <x:tablePart xmlns:r="http://schemas.openxmlformats.org/officeDocument/2006/relationships" r:id="Rab21e4c385c14c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14" hidden="0" customWidth="1"/>
    <x:col min="8" max="8" width="14" hidden="0" customWidth="1"/>
  </x:cols>
  <x:sheetData>
    <x:row r="1" ht="34" customHeight="1">
      <x:c r="A1" s="243" t="str">
        <x:v>target</x:v>
      </x:c>
      <x:c r="B1" s="243" t="str">
        <x:v>gene</x:v>
      </x:c>
      <x:c r="C1" s="243" t="str">
        <x:v>aliases</x:v>
      </x:c>
      <x:c r="D1" s="243" t="str">
        <x:v>organism</x:v>
      </x:c>
      <x:c r="E1" s="243" t="str">
        <x:v>pdb_id</x:v>
      </x:c>
      <x:c r="F1" s="243" t="str">
        <x:v>filename</x:v>
      </x:c>
      <x:c r="G1" s="243" t="str">
        <x:v>route_status</x:v>
      </x:c>
      <x:c r="H1" s="243" t="str">
        <x:v>suggested_action</x:v>
      </x:c>
    </x:row>
    <x:row r="2" ht="42" customHeight="1">
      <x:c r="A2" s="265" t="str">
        <x:v>IL-6</x:v>
      </x:c>
      <x:c r="B2" s="266" t="str">
        <x:v>IL6</x:v>
      </x:c>
      <x:c r="C2" s="266" t="str">
        <x:v>IL6, Interleukin-6</x:v>
      </x:c>
      <x:c r="D2" s="266" t="str">
        <x:v>Homo sapiens</x:v>
      </x:c>
      <x:c r="E2" s="266" t="str">
        <x:v>1ALU</x:v>
      </x:c>
      <x:c r="F2" s="266" t="str">
        <x:v>INFLAMLIB-HUMAN-IL6-RCSB-1ALU.pdb</x:v>
      </x:c>
      <x:c r="G2" s="266" t="str">
        <x:v>ALREADY_ROUTED_ALIAS</x:v>
      </x:c>
      <x:c r="H2" s="267" t="str">
        <x:v>保留本地结构；无需下载</x:v>
      </x:c>
    </x:row>
    <x:row r="3" ht="42" customHeight="1">
      <x:c r="A3" s="268" t="str">
        <x:v>IL-6</x:v>
      </x:c>
      <x:c r="B3" s="269" t="str">
        <x:v>IL6</x:v>
      </x:c>
      <x:c r="C3" s="269" t="str">
        <x:v>IL6, Interleukin-6</x:v>
      </x:c>
      <x:c r="D3" s="269" t="str">
        <x:v>Homo sapiens</x:v>
      </x:c>
      <x:c r="E3" s="269" t="str">
        <x:v>4ZS7</x:v>
      </x:c>
      <x:c r="F3" s="269" t="str">
        <x:v>INFLAMLIB-HUMAN-IL6-FAB-RCSB-4ZS7.pdb</x:v>
      </x:c>
      <x:c r="G3" s="269" t="str">
        <x:v>ALREADY_ROUTED_ALIAS</x:v>
      </x:c>
      <x:c r="H3" s="270" t="str">
        <x:v>保留本地结构；无需下载</x:v>
      </x:c>
    </x:row>
    <x:row r="4" ht="42" customHeight="1">
      <x:c r="A4" s="268" t="str">
        <x:v>IGF1R</x:v>
      </x:c>
      <x:c r="B4" s="269" t="str">
        <x:v>IGF1R</x:v>
      </x:c>
      <x:c r="C4" s="269" t="str">
        <x:v>Insulin-like growth factor 1 receptor, IGF-1 receptor</x:v>
      </x:c>
      <x:c r="D4" s="269" t="str">
        <x:v>Homo sapiens</x:v>
      </x:c>
      <x:c r="E4" s="269" t="str">
        <x:v>7XGD</x:v>
      </x:c>
      <x:c r="F4" s="269" t="str">
        <x:v>ENDOCRINELIB-HUMAN-IGF1R-RCSB-7XGD.pdb</x:v>
      </x:c>
      <x:c r="G4" s="269" t="str">
        <x:v>PROMOTE_ROUTE</x:v>
      </x:c>
      <x:c r="H4" s="270" t="str">
        <x:v>把现有 asset_only 资产加入正式路由；无需下载</x:v>
      </x:c>
    </x:row>
    <x:row r="5" ht="42" customHeight="1">
      <x:c r="A5" s="268" t="str">
        <x:v>IGF1R</x:v>
      </x:c>
      <x:c r="B5" s="269" t="str">
        <x:v>IGF1R</x:v>
      </x:c>
      <x:c r="C5" s="269" t="str">
        <x:v>Insulin-like growth factor 1 receptor, IGF-1 receptor</x:v>
      </x:c>
      <x:c r="D5" s="269" t="str">
        <x:v>Homo sapiens</x:v>
      </x:c>
      <x:c r="E5" s="269" t="str">
        <x:v>5U8R</x:v>
      </x:c>
      <x:c r="F5" s="269" t="str">
        <x:v>ENDOCRINELIB-HUMAN-IGF1R-FV-RCSB-5U8R.pdb</x:v>
      </x:c>
      <x:c r="G5" s="269" t="str">
        <x:v>PROMOTE_ROUTE</x:v>
      </x:c>
      <x:c r="H5" s="270" t="str">
        <x:v>把现有 asset_only 资产加入正式路由；无需下载</x:v>
      </x:c>
    </x:row>
    <x:row r="6" ht="42" customHeight="1">
      <x:c r="A6" s="268" t="str">
        <x:v>GLP1R</x:v>
      </x:c>
      <x:c r="B6" s="269" t="str">
        <x:v>GLP1R</x:v>
      </x:c>
      <x:c r="C6" s="269" t="str">
        <x:v>GLP-1R, Glucagon-like peptide 1 receptor</x:v>
      </x:c>
      <x:c r="D6" s="269" t="str">
        <x:v>Homo sapiens</x:v>
      </x:c>
      <x:c r="E6" s="269" t="str">
        <x:v>6LN2</x:v>
      </x:c>
      <x:c r="F6" s="269" t="str">
        <x:v>ENDOCRINELIB-HUMAN-GLP1R-RCSB-6LN2.pdb</x:v>
      </x:c>
      <x:c r="G6" s="269" t="str">
        <x:v>ALREADY_ROUTED_ALIAS</x:v>
      </x:c>
      <x:c r="H6" s="270" t="str">
        <x:v>保留本地结构；无需下载</x:v>
      </x:c>
    </x:row>
    <x:row r="7" ht="42" customHeight="1">
      <x:c r="A7" s="268" t="str">
        <x:v>Myostatin</x:v>
      </x:c>
      <x:c r="B7" s="269" t="str">
        <x:v>GDF8</x:v>
      </x:c>
      <x:c r="C7" s="269" t="str">
        <x:v>GDF8, Growth/differentiation factor 8</x:v>
      </x:c>
      <x:c r="D7" s="269" t="str">
        <x:v>Homo sapiens</x:v>
      </x:c>
      <x:c r="E7" s="269" t="str">
        <x:v>5F3H</x:v>
      </x:c>
      <x:c r="F7" s="269" t="str">
        <x:v>METABOLIB-HUMAN-MSTN-FAB-RCSB-5F3H.pdb</x:v>
      </x:c>
      <x:c r="G7" s="269" t="str">
        <x:v>ALREADY_ROUTED_ALIAS</x:v>
      </x:c>
      <x:c r="H7" s="270" t="str">
        <x:v>保留本地结构；无需下载</x:v>
      </x:c>
    </x:row>
    <x:row r="8" ht="42" customHeight="1">
      <x:c r="A8" s="268" t="str">
        <x:v>ActRIIB</x:v>
      </x:c>
      <x:c r="B8" s="269" t="str">
        <x:v>ACVR2B</x:v>
      </x:c>
      <x:c r="C8" s="269" t="str">
        <x:v>ACVR2B, ACTRIIB, Activin receptor type-2B</x:v>
      </x:c>
      <x:c r="D8" s="269" t="str">
        <x:v>Homo sapiens</x:v>
      </x:c>
      <x:c r="E8" s="269" t="str">
        <x:v>5NHR</x:v>
      </x:c>
      <x:c r="F8" s="269" t="str">
        <x:v>METABOLIB-HUMAN-ACTRIIB-FV-RCSB-5NHR.pdb</x:v>
      </x:c>
      <x:c r="G8" s="269" t="str">
        <x:v>PROMOTE_ROUTE</x:v>
      </x:c>
      <x:c r="H8" s="270" t="str">
        <x:v>把现有 asset_only 资产加入正式路由；无需下载</x:v>
      </x:c>
    </x:row>
    <x:row r="9" ht="42" customHeight="1">
      <x:c r="A9" s="268" t="str">
        <x:v>TrkB</x:v>
      </x:c>
      <x:c r="B9" s="269" t="str">
        <x:v>NTRK2</x:v>
      </x:c>
      <x:c r="C9" s="269" t="str">
        <x:v>NTRK2, Tropomyosin receptor kinase B, Neurotrophic tyrosine kinase receptor type 2</x:v>
      </x:c>
      <x:c r="D9" s="269" t="str">
        <x:v>Homo sapiens</x:v>
      </x:c>
      <x:c r="E9" s="269" t="str">
        <x:v>5MO9</x:v>
      </x:c>
      <x:c r="F9" s="269" t="str">
        <x:v>NEUROLIB-HUMAN-TRKB-FAB-RCSB-5MO9.pdb</x:v>
      </x:c>
      <x:c r="G9" s="269" t="str">
        <x:v>ALREADY_ROUTED_ALIAS</x:v>
      </x:c>
      <x:c r="H9" s="270" t="str">
        <x:v>保留本地结构；无需下载</x:v>
      </x:c>
    </x:row>
    <x:row r="10" ht="42" customHeight="1">
      <x:c r="A10" s="268" t="str">
        <x:v>DRD4</x:v>
      </x:c>
      <x:c r="B10" s="269" t="str">
        <x:v>DRD4</x:v>
      </x:c>
      <x:c r="C10" s="269" t="str">
        <x:v>D4 dopamine receptor, D(4) dopamine receptor, Dopamine receptor D4</x:v>
      </x:c>
      <x:c r="D10" s="269" t="str">
        <x:v>Homo sapiens</x:v>
      </x:c>
      <x:c r="E10" s="269" t="str">
        <x:v>5WIU</x:v>
      </x:c>
      <x:c r="F10" s="269" t="str">
        <x:v>NEUROLIB-HUMAN-DRD4-RCSB-5WIU.pdb</x:v>
      </x:c>
      <x:c r="G10" s="269" t="str">
        <x:v>ALREADY_ROUTED_ALIAS</x:v>
      </x:c>
      <x:c r="H10" s="270" t="str">
        <x:v>保留本地结构；无需下载</x:v>
      </x:c>
    </x:row>
    <x:row r="11" ht="42" customHeight="1">
      <x:c r="A11" s="268" t="str">
        <x:v>TrkA</x:v>
      </x:c>
      <x:c r="B11" s="269" t="str">
        <x:v>NTRK1</x:v>
      </x:c>
      <x:c r="C11" s="269" t="str">
        <x:v>NTRK1</x:v>
      </x:c>
      <x:c r="D11" s="269" t="str">
        <x:v>Homo sapiens</x:v>
      </x:c>
      <x:c r="E11" s="269" t="str">
        <x:v>1HE7</x:v>
      </x:c>
      <x:c r="F11" s="269" t="str">
        <x:v>NEUROLIB-HUMAN-TRKA-RCSB-1HE7.pdb</x:v>
      </x:c>
      <x:c r="G11" s="269" t="str">
        <x:v>ALREADY_ROUTED_ALIAS</x:v>
      </x:c>
      <x:c r="H11" s="270" t="str">
        <x:v>保留本地结构；无需下载</x:v>
      </x:c>
    </x:row>
    <x:row r="12" ht="42" customHeight="1">
      <x:c r="A12" s="268" t="str">
        <x:v>TrkA</x:v>
      </x:c>
      <x:c r="B12" s="269" t="str">
        <x:v>NTRK1</x:v>
      </x:c>
      <x:c r="C12" s="269" t="str">
        <x:v>NTRK1</x:v>
      </x:c>
      <x:c r="D12" s="269" t="str">
        <x:v>Homo sapiens</x:v>
      </x:c>
      <x:c r="E12" s="269" t="str">
        <x:v>2IFG</x:v>
      </x:c>
      <x:c r="F12" s="269" t="str">
        <x:v>NEUROLIB-HUMAN-TRKA-NGF-RCSB-2IFG.pdb</x:v>
      </x:c>
      <x:c r="G12" s="269" t="str">
        <x:v>ALREADY_ROUTED_ALIAS</x:v>
      </x:c>
      <x:c r="H12" s="270" t="str">
        <x:v>保留本地结构；无需下载</x:v>
      </x:c>
    </x:row>
    <x:row r="13" ht="42" customHeight="1">
      <x:c r="A13" s="268" t="str">
        <x:v>LRRK2</x:v>
      </x:c>
      <x:c r="B13" s="269" t="str">
        <x:v>LRRK2</x:v>
      </x:c>
      <x:c r="C13" s="269" t="str">
        <x:v>Leucine-rich repeat serine/threonine-protein kinase 2</x:v>
      </x:c>
      <x:c r="D13" s="269" t="str">
        <x:v>Homo sapiens</x:v>
      </x:c>
      <x:c r="E13" s="269" t="str">
        <x:v>7LHT</x:v>
      </x:c>
      <x:c r="F13" s="269" t="str">
        <x:v>NEUROLIB-HUMAN-LRRK2-RCSB-7LHT.pdb</x:v>
      </x:c>
      <x:c r="G13" s="269" t="str">
        <x:v>PROMOTE_ROUTE</x:v>
      </x:c>
      <x:c r="H13" s="270" t="str">
        <x:v>把现有 asset_only 资产加入正式路由；无需下载</x:v>
      </x:c>
    </x:row>
    <x:row r="14" ht="42" customHeight="1">
      <x:c r="A14" s="268" t="str">
        <x:v>GBA</x:v>
      </x:c>
      <x:c r="B14" s="269" t="str">
        <x:v>GBA1</x:v>
      </x:c>
      <x:c r="C14" s="269" t="str">
        <x:v>GBA1, Glucocerebrosidase, Acid beta-glucosidase</x:v>
      </x:c>
      <x:c r="D14" s="269" t="str">
        <x:v>Homo sapiens</x:v>
      </x:c>
      <x:c r="E14" s="269" t="str">
        <x:v>1OGS</x:v>
      </x:c>
      <x:c r="F14" s="269" t="str">
        <x:v>NEUROLIB-HUMAN-GBA-RCSB-1OGS.pdb</x:v>
      </x:c>
      <x:c r="G14" s="269" t="str">
        <x:v>PROMOTE_ROUTE</x:v>
      </x:c>
      <x:c r="H14" s="270" t="str">
        <x:v>把现有 asset_only 资产加入正式路由；无需下载</x:v>
      </x:c>
    </x:row>
    <x:row r="15" ht="42" customHeight="1">
      <x:c r="A15" s="268" t="str">
        <x:v>FOLR1</x:v>
      </x:c>
      <x:c r="B15" s="269" t="str">
        <x:v>FOLR1</x:v>
      </x:c>
      <x:c r="C15" s="269" t="str">
        <x:v>Folate receptor alpha</x:v>
      </x:c>
      <x:c r="D15" s="269" t="str">
        <x:v>Homo sapiens</x:v>
      </x:c>
      <x:c r="E15" s="269" t="str">
        <x:v>4KM6</x:v>
      </x:c>
      <x:c r="F15" s="269" t="str">
        <x:v>SOLIDLIB-HUMAN-FOLR1-RCSB-4KM6.pdb</x:v>
      </x:c>
      <x:c r="G15" s="269" t="str">
        <x:v>ALREADY_ROUTED_ALIAS</x:v>
      </x:c>
      <x:c r="H15" s="270" t="str">
        <x:v>保留本地结构；无需下载</x:v>
      </x:c>
    </x:row>
    <x:row r="16" ht="42" customHeight="1">
      <x:c r="A16" s="268" t="str">
        <x:v>FOLR1</x:v>
      </x:c>
      <x:c r="B16" s="269" t="str">
        <x:v>FOLR1</x:v>
      </x:c>
      <x:c r="C16" s="269" t="str">
        <x:v>Folate receptor alpha</x:v>
      </x:c>
      <x:c r="D16" s="269" t="str">
        <x:v>Homo sapiens</x:v>
      </x:c>
      <x:c r="E16" s="269" t="str">
        <x:v>4KM7</x:v>
      </x:c>
      <x:c r="F16" s="269" t="str">
        <x:v>SOLIDLIB-HUMAN-FOLR1-RCSB-4KM7.pdb</x:v>
      </x:c>
      <x:c r="G16" s="269" t="str">
        <x:v>ALREADY_ROUTED_ALIAS</x:v>
      </x:c>
      <x:c r="H16" s="270" t="str">
        <x:v>保留本地结构；无需下载</x:v>
      </x:c>
    </x:row>
    <x:row r="17" ht="42" customHeight="1">
      <x:c r="A17" s="268" t="str">
        <x:v>FOLR1</x:v>
      </x:c>
      <x:c r="B17" s="269" t="str">
        <x:v>FOLR1</x:v>
      </x:c>
      <x:c r="C17" s="269" t="str">
        <x:v>Folate receptor alpha</x:v>
      </x:c>
      <x:c r="D17" s="269" t="str">
        <x:v>Homo sapiens</x:v>
      </x:c>
      <x:c r="E17" s="269" t="str">
        <x:v>4KMX</x:v>
      </x:c>
      <x:c r="F17" s="269" t="str">
        <x:v>SOLIDLIB-HUMAN-FOLR1-RCSB-4KMX.pdb</x:v>
      </x:c>
      <x:c r="G17" s="269" t="str">
        <x:v>ALREADY_ROUTED_ALIAS</x:v>
      </x:c>
      <x:c r="H17" s="270" t="str">
        <x:v>保留本地结构；无需下载</x:v>
      </x:c>
    </x:row>
    <x:row r="18" ht="42" customHeight="1">
      <x:c r="A18" s="268" t="str">
        <x:v>Mesothelin</x:v>
      </x:c>
      <x:c r="B18" s="269" t="str">
        <x:v>MSLN</x:v>
      </x:c>
      <x:c r="C18" s="269" t="str">
        <x:v>MSLN</x:v>
      </x:c>
      <x:c r="D18" s="269" t="str">
        <x:v>Homo sapiens</x:v>
      </x:c>
      <x:c r="E18" s="269" t="str">
        <x:v>4F3F</x:v>
      </x:c>
      <x:c r="F18" s="269" t="str">
        <x:v>SOLIDLIB-HUMAN-MSLN-FAB-RCSB-4F3F.pdb</x:v>
      </x:c>
      <x:c r="G18" s="269" t="str">
        <x:v>ALREADY_ROUTED_ALIAS</x:v>
      </x:c>
      <x:c r="H18" s="270" t="str">
        <x:v>保留本地结构；无需下载</x:v>
      </x:c>
    </x:row>
    <x:row r="19" ht="42" customHeight="1">
      <x:c r="A19" s="268" t="str">
        <x:v>Mesothelin</x:v>
      </x:c>
      <x:c r="B19" s="269" t="str">
        <x:v>MSLN</x:v>
      </x:c>
      <x:c r="C19" s="269" t="str">
        <x:v>MSLN</x:v>
      </x:c>
      <x:c r="D19" s="269" t="str">
        <x:v>Homo sapiens</x:v>
      </x:c>
      <x:c r="E19" s="269" t="str">
        <x:v>8FSL</x:v>
      </x:c>
      <x:c r="F19" s="269" t="str">
        <x:v>SOLIDLIB-HUMAN-MSLN-VH-RCSB-8FSL.pdb</x:v>
      </x:c>
      <x:c r="G19" s="269" t="str">
        <x:v>ALREADY_ROUTED_ALIAS</x:v>
      </x:c>
      <x:c r="H19" s="270" t="str">
        <x:v>保留本地结构；无需下载</x:v>
      </x:c>
    </x:row>
    <x:row r="20" ht="42" customHeight="1">
      <x:c r="A20" s="268" t="str">
        <x:v>CEACAM6</x:v>
      </x:c>
      <x:c r="B20" s="269" t="str">
        <x:v>CEACAM6</x:v>
      </x:c>
      <x:c r="C20" s="269" t="str"/>
      <x:c r="D20" s="269" t="str">
        <x:v>Homo sapiens</x:v>
      </x:c>
      <x:c r="E20" s="269" t="str">
        <x:v>4WHC</x:v>
      </x:c>
      <x:c r="F20" s="269" t="str">
        <x:v>SOLIDLIB-HUMAN-CEACAM6-RCSB-4WHC.pdb</x:v>
      </x:c>
      <x:c r="G20" s="269" t="str">
        <x:v>PROMOTE_ROUTE</x:v>
      </x:c>
      <x:c r="H20" s="270" t="str">
        <x:v>把现有 asset_only 资产加入正式路由；无需下载</x:v>
      </x:c>
    </x:row>
    <x:row r="21" ht="42" customHeight="1">
      <x:c r="A21" s="268" t="str">
        <x:v>PSMA</x:v>
      </x:c>
      <x:c r="B21" s="269" t="str">
        <x:v>FOLH1</x:v>
      </x:c>
      <x:c r="C21" s="269" t="str">
        <x:v>FOLH1, Prostate-specific membrane antigen</x:v>
      </x:c>
      <x:c r="D21" s="269" t="str">
        <x:v>Homo sapiens</x:v>
      </x:c>
      <x:c r="E21" s="269" t="str">
        <x:v>9HLW</x:v>
      </x:c>
      <x:c r="F21" s="269" t="str">
        <x:v>SOLIDLIB-HUMAN-PSMA-VHH-RCSB-9HLW.pdb</x:v>
      </x:c>
      <x:c r="G21" s="269" t="str">
        <x:v>ALREADY_ROUTED_ALIAS</x:v>
      </x:c>
      <x:c r="H21" s="270" t="str">
        <x:v>保留本地结构；无需下载</x:v>
      </x:c>
    </x:row>
    <x:row r="22" ht="42" customHeight="1">
      <x:c r="A22" s="268" t="str">
        <x:v>PSMA</x:v>
      </x:c>
      <x:c r="B22" s="269" t="str">
        <x:v>FOLH1</x:v>
      </x:c>
      <x:c r="C22" s="269" t="str">
        <x:v>FOLH1, Prostate-specific membrane antigen</x:v>
      </x:c>
      <x:c r="D22" s="269" t="str">
        <x:v>Homo sapiens</x:v>
      </x:c>
      <x:c r="E22" s="269" t="str">
        <x:v>9HVI</x:v>
      </x:c>
      <x:c r="F22" s="269" t="str">
        <x:v>SOLIDLIB-HUMAN-PSMA-VHH-RCSB-9HVI.pdb</x:v>
      </x:c>
      <x:c r="G22" s="269" t="str">
        <x:v>ALREADY_ROUTED_ALIAS</x:v>
      </x:c>
      <x:c r="H22" s="270" t="str">
        <x:v>保留本地结构；无需下载</x:v>
      </x:c>
    </x:row>
    <x:row r="23" ht="42" customHeight="1">
      <x:c r="A23" s="268" t="str">
        <x:v>PSMA</x:v>
      </x:c>
      <x:c r="B23" s="269" t="str">
        <x:v>FOLH1</x:v>
      </x:c>
      <x:c r="C23" s="269" t="str">
        <x:v>FOLH1, Prostate-specific membrane antigen</x:v>
      </x:c>
      <x:c r="D23" s="269" t="str">
        <x:v>Homo sapiens</x:v>
      </x:c>
      <x:c r="E23" s="269" t="str">
        <x:v>9HVL</x:v>
      </x:c>
      <x:c r="F23" s="269" t="str">
        <x:v>SOLIDLIB-HUMAN-PSMA-VHH-RCSB-9HVL.pdb</x:v>
      </x:c>
      <x:c r="G23" s="269" t="str">
        <x:v>ALREADY_ROUTED_ALIAS</x:v>
      </x:c>
      <x:c r="H23" s="270" t="str">
        <x:v>保留本地结构；无需下载</x:v>
      </x:c>
    </x:row>
    <x:row r="24" ht="42" customHeight="1">
      <x:c r="A24" s="268" t="str">
        <x:v>PSMA</x:v>
      </x:c>
      <x:c r="B24" s="269" t="str">
        <x:v>FOLH1</x:v>
      </x:c>
      <x:c r="C24" s="269" t="str">
        <x:v>FOLH1, Prostate-specific membrane antigen</x:v>
      </x:c>
      <x:c r="D24" s="269" t="str">
        <x:v>Homo sapiens</x:v>
      </x:c>
      <x:c r="E24" s="269" t="str">
        <x:v>9HVK</x:v>
      </x:c>
      <x:c r="F24" s="269" t="str">
        <x:v>SOLIDLIB-HUMAN-PSMA-VHH-RCSB-9HVK.pdb</x:v>
      </x:c>
      <x:c r="G24" s="269" t="str">
        <x:v>ALREADY_ROUTED_ALIAS</x:v>
      </x:c>
      <x:c r="H24" s="270" t="str">
        <x:v>保留本地结构；无需下载</x:v>
      </x:c>
    </x:row>
    <x:row r="25" ht="42" customHeight="1">
      <x:c r="A25" s="268" t="str">
        <x:v>GPC3</x:v>
      </x:c>
      <x:c r="B25" s="269" t="str">
        <x:v>GPC3</x:v>
      </x:c>
      <x:c r="C25" s="269" t="str">
        <x:v>Glypican-3</x:v>
      </x:c>
      <x:c r="D25" s="269" t="str">
        <x:v>Homo sapiens</x:v>
      </x:c>
      <x:c r="E25" s="269" t="str">
        <x:v>9NTQ</x:v>
      </x:c>
      <x:c r="F25" s="269" t="str">
        <x:v>SOLIDLIB-HUMAN-GPC3-RCSB-9NTQ.pdb</x:v>
      </x:c>
      <x:c r="G25" s="269" t="str">
        <x:v>PROMOTE_ROUTE</x:v>
      </x:c>
      <x:c r="H25" s="270" t="str">
        <x:v>把现有 asset_only 资产加入正式路由；无需下载</x:v>
      </x:c>
    </x:row>
    <x:row r="26" ht="42" customHeight="1">
      <x:c r="A26" s="268" t="str">
        <x:v>GPC3</x:v>
      </x:c>
      <x:c r="B26" s="269" t="str">
        <x:v>GPC3</x:v>
      </x:c>
      <x:c r="C26" s="269" t="str">
        <x:v>Glypican-3</x:v>
      </x:c>
      <x:c r="D26" s="269" t="str">
        <x:v>Homo sapiens</x:v>
      </x:c>
      <x:c r="E26" s="269" t="str">
        <x:v>9NTT</x:v>
      </x:c>
      <x:c r="F26" s="269" t="str">
        <x:v>SOLIDLIB-HUMAN-GPC3-RCSB-9NTT.pdb</x:v>
      </x:c>
      <x:c r="G26" s="269" t="str">
        <x:v>PROMOTE_ROUTE</x:v>
      </x:c>
      <x:c r="H26" s="270" t="str">
        <x:v>把现有 asset_only 资产加入正式路由；无需下载</x:v>
      </x:c>
    </x:row>
    <x:row r="27" ht="42" customHeight="1">
      <x:c r="A27" s="268" t="str">
        <x:v>CAIX</x:v>
      </x:c>
      <x:c r="B27" s="269" t="str">
        <x:v>CA9</x:v>
      </x:c>
      <x:c r="C27" s="269" t="str">
        <x:v>CA9, Carbonic anhydrase IX</x:v>
      </x:c>
      <x:c r="D27" s="269" t="str">
        <x:v>Homo sapiens</x:v>
      </x:c>
      <x:c r="E27" s="269" t="str">
        <x:v>6FE2</x:v>
      </x:c>
      <x:c r="F27" s="269" t="str">
        <x:v>SOLIDLIB-HUMAN-CAIX-RCSB-6FE2.pdb</x:v>
      </x:c>
      <x:c r="G27" s="269" t="str">
        <x:v>ALREADY_ROUTED_ALIAS</x:v>
      </x:c>
      <x:c r="H27" s="270" t="str">
        <x:v>保留本地结构；无需下载</x:v>
      </x:c>
    </x:row>
    <x:row r="28" ht="42" customHeight="1">
      <x:c r="A28" s="268" t="str">
        <x:v>EpCAM</x:v>
      </x:c>
      <x:c r="B28" s="269" t="str">
        <x:v>EPCAM</x:v>
      </x:c>
      <x:c r="C28" s="269" t="str">
        <x:v>EPCAM, TACSTD1</x:v>
      </x:c>
      <x:c r="D28" s="269" t="str">
        <x:v>Homo sapiens</x:v>
      </x:c>
      <x:c r="E28" s="269" t="str">
        <x:v>6I07</x:v>
      </x:c>
      <x:c r="F28" s="269" t="str">
        <x:v>SOLIDLIB-HUMAN-EPCAM-SCFV-RCSB-6I07.pdb</x:v>
      </x:c>
      <x:c r="G28" s="269" t="str">
        <x:v>PROMOTE_ROUTE</x:v>
      </x:c>
      <x:c r="H28" s="270" t="str">
        <x:v>把现有 asset_only 资产加入正式路由；无需下载</x:v>
      </x:c>
    </x:row>
    <x:row r="29" ht="42" customHeight="1">
      <x:c r="A29" s="268" t="str">
        <x:v>B7-H4</x:v>
      </x:c>
      <x:c r="B29" s="269" t="str">
        <x:v>VTCN1</x:v>
      </x:c>
      <x:c r="C29" s="269" t="str">
        <x:v>VTCN1</x:v>
      </x:c>
      <x:c r="D29" s="269" t="str">
        <x:v>Homo sapiens</x:v>
      </x:c>
      <x:c r="E29" s="269" t="str">
        <x:v>4GOS</x:v>
      </x:c>
      <x:c r="F29" s="269" t="str">
        <x:v>SOLIDLIB-HUMAN-B7H4-RCSB-4GOS.pdb</x:v>
      </x:c>
      <x:c r="G29" s="269" t="str">
        <x:v>PROMOTE_ROUTE</x:v>
      </x:c>
      <x:c r="H29" s="270" t="str">
        <x:v>把现有 asset_only 资产加入正式路由；无需下载</x:v>
      </x:c>
    </x:row>
    <x:row r="30" ht="42" customHeight="1">
      <x:c r="A30" s="268" t="str">
        <x:v>MET</x:v>
      </x:c>
      <x:c r="B30" s="269" t="str">
        <x:v>MET</x:v>
      </x:c>
      <x:c r="C30" s="269" t="str">
        <x:v>MET receptor, HGF receptor, Hepatocyte growth factor receptor</x:v>
      </x:c>
      <x:c r="D30" s="269" t="str">
        <x:v>Homo sapiens</x:v>
      </x:c>
      <x:c r="E30" s="269" t="str">
        <x:v>6I04</x:v>
      </x:c>
      <x:c r="F30" s="269" t="str">
        <x:v>SOLIDLIB-HUMAN-MET-FAB-RCSB-6I04.pdb</x:v>
      </x:c>
      <x:c r="G30" s="269" t="str">
        <x:v>ALREADY_ROUTED_ALIAS</x:v>
      </x:c>
      <x:c r="H30" s="270" t="str">
        <x:v>保留本地结构；无需下载</x:v>
      </x:c>
    </x:row>
    <x:row r="31" ht="42" customHeight="1">
      <x:c r="A31" s="268" t="str">
        <x:v>HER3</x:v>
      </x:c>
      <x:c r="B31" s="269" t="str">
        <x:v>ERBB3</x:v>
      </x:c>
      <x:c r="C31" s="269" t="str">
        <x:v>ERBB3, ErbB3, HER3, Receptor tyrosine-protein kinase erbB-3</x:v>
      </x:c>
      <x:c r="D31" s="269" t="str">
        <x:v>Homo sapiens</x:v>
      </x:c>
      <x:c r="E31" s="269" t="str">
        <x:v>7D85</x:v>
      </x:c>
      <x:c r="F31" s="269" t="str">
        <x:v>SOLIDLIB-HUMAN-HER3-FAB-RCSB-7D85.pdb</x:v>
      </x:c>
      <x:c r="G31" s="269" t="str">
        <x:v>ALREADY_ROUTED_ALIAS</x:v>
      </x:c>
      <x:c r="H31" s="270" t="str">
        <x:v>保留本地结构；无需下载</x:v>
      </x:c>
    </x:row>
    <x:row r="32" ht="42" customHeight="1">
      <x:c r="A32" s="268" t="str">
        <x:v>FGFR3</x:v>
      </x:c>
      <x:c r="B32" s="269" t="str">
        <x:v>FGFR3</x:v>
      </x:c>
      <x:c r="C32" s="269" t="str">
        <x:v>Fibroblast growth factor receptor 3</x:v>
      </x:c>
      <x:c r="D32" s="269" t="str">
        <x:v>Homo sapiens</x:v>
      </x:c>
      <x:c r="E32" s="269" t="str">
        <x:v>3GRW</x:v>
      </x:c>
      <x:c r="F32" s="269" t="str">
        <x:v>SOLIDLIB-HUMAN-FGFR3-FAB-RCSB-3GRW.pdb</x:v>
      </x:c>
      <x:c r="G32" s="269" t="str">
        <x:v>ALREADY_ROUTED_ALIAS</x:v>
      </x:c>
      <x:c r="H32" s="270" t="str">
        <x:v>保留本地结构；无需下载</x:v>
      </x:c>
    </x:row>
    <x:row r="33" ht="42" customHeight="1">
      <x:c r="A33" s="268" t="str">
        <x:v>FGFR2</x:v>
      </x:c>
      <x:c r="B33" s="269" t="str">
        <x:v>FGFR2</x:v>
      </x:c>
      <x:c r="C33" s="269" t="str">
        <x:v>Fibroblast growth factor receptor 2, FGFR2b</x:v>
      </x:c>
      <x:c r="D33" s="269" t="str">
        <x:v>Homo sapiens</x:v>
      </x:c>
      <x:c r="E33" s="269" t="str">
        <x:v>4WV1</x:v>
      </x:c>
      <x:c r="F33" s="269" t="str">
        <x:v>SOLIDLIB-HUMAN-FGFR2-FAB-RCSB-4WV1.pdb</x:v>
      </x:c>
      <x:c r="G33" s="269" t="str">
        <x:v>ALREADY_ROUTED_ALIAS</x:v>
      </x:c>
      <x:c r="H33" s="270" t="str">
        <x:v>保留本地结构；无需下载</x:v>
      </x:c>
    </x:row>
    <x:row r="34" ht="42" customHeight="1">
      <x:c r="A34" s="268" t="str">
        <x:v>CD70</x:v>
      </x:c>
      <x:c r="B34" s="269" t="str">
        <x:v>TNFSF7</x:v>
      </x:c>
      <x:c r="C34" s="269" t="str">
        <x:v>TNFSF7, CD27 ligand</x:v>
      </x:c>
      <x:c r="D34" s="269" t="str">
        <x:v>Homo sapiens</x:v>
      </x:c>
      <x:c r="E34" s="269" t="str">
        <x:v>7KX0</x:v>
      </x:c>
      <x:c r="F34" s="269" t="str">
        <x:v>SOLIDLIB-HUMAN-CD70-RCSB-7KX0.pdb</x:v>
      </x:c>
      <x:c r="G34" s="269" t="str">
        <x:v>ALREADY_ROUTED_ALIAS</x:v>
      </x:c>
      <x:c r="H34" s="270" t="str">
        <x:v>保留本地结构；无需下载</x:v>
      </x:c>
    </x:row>
    <x:row r="35" ht="42" customHeight="1">
      <x:c r="A35" s="268" t="str">
        <x:v>SOST</x:v>
      </x:c>
      <x:c r="B35" s="269" t="str">
        <x:v>SOST</x:v>
      </x:c>
      <x:c r="C35" s="269" t="str">
        <x:v>Sclerostin</x:v>
      </x:c>
      <x:c r="D35" s="269" t="str">
        <x:v>Homo sapiens</x:v>
      </x:c>
      <x:c r="E35" s="269" t="str">
        <x:v>2K8P</x:v>
      </x:c>
      <x:c r="F35" s="269" t="str">
        <x:v>BONELIB-HUMAN-SOST-RCSB-2K8P.pdb</x:v>
      </x:c>
      <x:c r="G35" s="269" t="str">
        <x:v>PROMOTE_ROUTE</x:v>
      </x:c>
      <x:c r="H35" s="270" t="str">
        <x:v>把现有 asset_only 资产加入正式路由；无需下载</x:v>
      </x:c>
    </x:row>
    <x:row r="36" ht="42" customHeight="1">
      <x:c r="A36" s="268" t="str">
        <x:v>SOST</x:v>
      </x:c>
      <x:c r="B36" s="269" t="str">
        <x:v>SOST</x:v>
      </x:c>
      <x:c r="C36" s="269" t="str">
        <x:v>Sclerostin</x:v>
      </x:c>
      <x:c r="D36" s="269" t="str">
        <x:v>Homo sapiens</x:v>
      </x:c>
      <x:c r="E36" s="269" t="str">
        <x:v>6L6R</x:v>
      </x:c>
      <x:c r="F36" s="269" t="str">
        <x:v>BONELIB-HUMAN-SOST-LRP6-RCSB-6L6R.pdb</x:v>
      </x:c>
      <x:c r="G36" s="269" t="str">
        <x:v>PROMOTE_ROUTE</x:v>
      </x:c>
      <x:c r="H36" s="270" t="str">
        <x:v>把现有 asset_only 资产加入正式路由；无需下载</x:v>
      </x:c>
    </x:row>
    <x:row r="37" ht="42" customHeight="1">
      <x:c r="A37" s="268" t="str">
        <x:v>DKK1</x:v>
      </x:c>
      <x:c r="B37" s="269" t="str">
        <x:v>DKK1</x:v>
      </x:c>
      <x:c r="C37" s="269" t="str">
        <x:v>Dickkopf-related protein 1</x:v>
      </x:c>
      <x:c r="D37" s="269" t="str">
        <x:v>Homo sapiens</x:v>
      </x:c>
      <x:c r="E37" s="269" t="str">
        <x:v>5GJE</x:v>
      </x:c>
      <x:c r="F37" s="269" t="str">
        <x:v>BONELIB-HUMAN-DKK1-RCSB-5GJE.pdb</x:v>
      </x:c>
      <x:c r="G37" s="269" t="str">
        <x:v>PROMOTE_ROUTE</x:v>
      </x:c>
      <x:c r="H37" s="270" t="str">
        <x:v>把现有 asset_only 资产加入正式路由；无需下载</x:v>
      </x:c>
    </x:row>
    <x:row r="38" ht="42" customHeight="1">
      <x:c r="A38" s="271" t="str">
        <x:v>RANKL</x:v>
      </x:c>
      <x:c r="B38" s="272" t="str">
        <x:v>TNFSF11</x:v>
      </x:c>
      <x:c r="C38" s="272" t="str">
        <x:v>TNFSF11, TRANCE, Receptor activator of nuclear factor kappa-B ligand</x:v>
      </x:c>
      <x:c r="D38" s="272" t="str">
        <x:v>Homo sapiens</x:v>
      </x:c>
      <x:c r="E38" s="272" t="str">
        <x:v>3URF</x:v>
      </x:c>
      <x:c r="F38" s="272" t="str">
        <x:v>BONELIB-HUMAN-RANKL-RCSB-3URF.pdb</x:v>
      </x:c>
      <x:c r="G38" s="272" t="str">
        <x:v>PROMOTE_ROUTE</x:v>
      </x:c>
      <x:c r="H38" s="273" t="str">
        <x:v>把现有 asset_only 资产加入正式路由；无需下载</x:v>
      </x:c>
    </x:row>
  </x:sheetData>
  <x:pageMargins left="0.7" right="0.7" top="0.75" bottom="0.75" header="0.3" footer="0.3"/>
  <x:tableParts count="1">
    <x:tablePart xmlns:r="http://schemas.openxmlformats.org/officeDocument/2006/relationships" r:id="R62b1e0e8face41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0" hidden="0" customWidth="1"/>
    <x:col min="4" max="4" width="28" hidden="0" customWidth="1"/>
    <x:col min="5" max="5" width="28" hidden="0" customWidth="1"/>
  </x:cols>
  <x:sheetData>
    <x:row r="1" ht="34" customHeight="1">
      <x:c r="A1" s="243" t="str">
        <x:v>疾病/适应症</x:v>
      </x:c>
      <x:c r="B1" s="243" t="str">
        <x:v>报告原始靶点</x:v>
      </x:c>
      <x:c r="C1" s="243" t="str">
        <x:v>规范化靶点ID</x:v>
      </x:c>
      <x:c r="D1" s="243" t="str">
        <x:v>处理意见</x:v>
      </x:c>
      <x:c r="E1" s="243" t="str">
        <x:v>关键纠错</x:v>
      </x:c>
    </x:row>
    <x:row r="2" ht="42" customHeight="1">
      <x:c r="A2" s="265" t="str">
        <x:v>亨廷顿病</x:v>
      </x:c>
      <x:c r="B2" s="266" t="str">
        <x:v>HTT</x:v>
      </x:c>
      <x:c r="C2" s="266" t="str">
        <x:v>HTT / ENSG00000197386 / P42858</x:v>
      </x:c>
      <x:c r="D2" s="266" t="str">
        <x:v>新增实验结构 6EZ8</x:v>
      </x:c>
      <x:c r="E2" s="267" t="str">
        <x:v>无</x:v>
      </x:c>
    </x:row>
    <x:row r="3" ht="42" customHeight="1">
      <x:c r="A3" s="268" t="str">
        <x:v>肌萎缩侧索硬化症 (ALS)</x:v>
      </x:c>
      <x:c r="B3" s="269" t="str">
        <x:v>SOD1、C9orf72、TDP-43</x:v>
      </x:c>
      <x:c r="C3" s="269" t="str">
        <x:v>SOD1 / C9ORF72 / TARDBP</x:v>
      </x:c>
      <x:c r="D3" s="269" t="str">
        <x:v>新增 2C9V、6LT0、4BS2</x:v>
      </x:c>
      <x:c r="E3" s="270" t="str">
        <x:v>TDP-43 的官方基因符号为 TARDBP</x:v>
      </x:c>
    </x:row>
    <x:row r="4" ht="42" customHeight="1">
      <x:c r="A4" s="268" t="str">
        <x:v>脊髓损伤</x:v>
      </x:c>
      <x:c r="B4" s="269" t="str">
        <x:v>Nogo-66、NgR、Cethrin</x:v>
      </x:c>
      <x:c r="C4" s="269" t="str">
        <x:v>RTN4 / RTN4R / RHOA</x:v>
      </x:c>
      <x:c r="D4" s="269" t="str">
        <x:v>新增 2KO2、1OZN、6BC0</x:v>
      </x:c>
      <x:c r="E4" s="270" t="str">
        <x:v>“Cethrin”是候选治疗蛋白/药物，不是靶点；应映射 RHOA。RTN4 的 Nogo-66 结构使用 2KO2；1P8T/1OZN 均属于 RTN4R 受体。</x:v>
      </x:c>
    </x:row>
    <x:row r="5" ht="42" customHeight="1">
      <x:c r="A5" s="268" t="str">
        <x:v>破伤风</x:v>
      </x:c>
      <x:c r="B5" s="269" t="str">
        <x:v>Tetanus toxin</x:v>
      </x:c>
      <x:c r="C5" s="269" t="str">
        <x:v>TeNT/tetX / UniProt P04958</x:v>
      </x:c>
      <x:c r="D5" s="269" t="str">
        <x:v>优先 1A8D Hc 抗原片段；可选 7BY5 全长失活毒素</x:v>
      </x:c>
      <x:c r="E5" s="270" t="str">
        <x:v>按抗原片段和全长构建体分开标注</x:v>
      </x:c>
    </x:row>
    <x:row r="6" ht="42" customHeight="1">
      <x:c r="A6" s="268" t="str">
        <x:v>疟疾</x:v>
      </x:c>
      <x:c r="B6" s="269" t="str">
        <x:v>PfHRP2、CSP、MSP1、AMA1、RH5</x:v>
      </x:c>
      <x:c r="C6" s="269" t="str">
        <x:v>PF3D7_0831800 / PF3D7_0304600 / PF3D7_0930300 / PF3D7_1133400 / PF3D7_0424100</x:v>
      </x:c>
      <x:c r="D6" s="269" t="str">
        <x:v>新增 7V05、6ZBF、1Z40、4WAT；PfHRP2 保存序列/表位</x:v>
      </x:c>
      <x:c r="E6" s="270" t="str">
        <x:v>PfHRP2 不应伪造实验 PDB</x:v>
      </x:c>
    </x:row>
    <x:row r="7" ht="42" customHeight="1">
      <x:c r="A7" s="268" t="str">
        <x:v>HPV16 感染及相关癌症</x:v>
      </x:c>
      <x:c r="B7" s="269" t="str">
        <x:v>L1、E6、E7</x:v>
      </x:c>
      <x:c r="C7" s="269" t="str">
        <x:v>HPV16 L1 / E6 / E7</x:v>
      </x:c>
      <x:c r="D7" s="269" t="str">
        <x:v>新增 2R5H、4GIZ；E7 仅保存 6APN 等表位复合物</x:v>
      </x:c>
      <x:c r="E7" s="270" t="str">
        <x:v>2B9D 是 HPV1a E7，不应当作 HPV16 E7；6APN 为 HPV16 E7 肽-HLA</x:v>
      </x:c>
    </x:row>
    <x:row r="8" ht="42" customHeight="1">
      <x:c r="A8" s="268" t="str">
        <x:v>Fabry disease</x:v>
      </x:c>
      <x:c r="B8" s="269" t="str">
        <x:v>alpha-Gal A</x:v>
      </x:c>
      <x:c r="C8" s="269" t="str">
        <x:v>GLA / ENSG00000102393 / P06280</x:v>
      </x:c>
      <x:c r="D8" s="269" t="str">
        <x:v>新增 3S5Z</x:v>
      </x:c>
      <x:c r="E8" s="270" t="str">
        <x:v>无</x:v>
      </x:c>
    </x:row>
    <x:row r="9" ht="42" customHeight="1">
      <x:c r="A9" s="268" t="str">
        <x:v>Gaucher disease</x:v>
      </x:c>
      <x:c r="B9" s="269" t="str">
        <x:v>GBA/GCase</x:v>
      </x:c>
      <x:c r="C9" s="269" t="str">
        <x:v>GBA1 / ENSG00000177628 / P04062</x:v>
      </x:c>
      <x:c r="D9" s="269" t="str">
        <x:v>本地已有 1OGS；提升路由，不重复下载</x:v>
      </x:c>
      <x:c r="E9" s="270" t="str">
        <x:v>官方基因符号为 GBA1</x:v>
      </x:c>
    </x:row>
    <x:row r="10" ht="42" customHeight="1">
      <x:c r="A10" s="268" t="str">
        <x:v>黏多糖贮积症</x:v>
      </x:c>
      <x:c r="B10" s="269" t="str">
        <x:v>IDS、IDUA</x:v>
      </x:c>
      <x:c r="C10" s="269" t="str">
        <x:v>IDS / IDUA</x:v>
      </x:c>
      <x:c r="D10" s="269" t="str">
        <x:v>新增 5FQL、3W81</x:v>
      </x:c>
      <x:c r="E10" s="270" t="str">
        <x:v>按 MPS II 与 MPS I 分开记录</x:v>
      </x:c>
    </x:row>
    <x:row r="11" ht="42" customHeight="1">
      <x:c r="A11" s="268" t="str">
        <x:v>脊髓性肌萎缩症 (SMA)</x:v>
      </x:c>
      <x:c r="B11" s="269" t="str">
        <x:v>SMN1/2、Survivin</x:v>
      </x:c>
      <x:c r="C11" s="269" t="str">
        <x:v>SMN1 / SMN2；BIRC5 仅探索</x:v>
      </x:c>
      <x:c r="D11" s="269" t="str">
        <x:v>新增 4GLI（SMN YG-box）；BIRC5 的 1XOX 降为 P2</x:v>
      </x:c>
      <x:c r="E11" s="270" t="str">
        <x:v>BIRC5/Survivin 不是 SMA 核心致病靶点，不能与 SMN1/2 同级</x:v>
      </x:c>
    </x:row>
    <x:row r="12" ht="42" customHeight="1">
      <x:c r="A12" s="271" t="str">
        <x:v>Niemann–Pick disease type C</x:v>
      </x:c>
      <x:c r="B12" s="272" t="str">
        <x:v>NPC1/2</x:v>
      </x:c>
      <x:c r="C12" s="272" t="str">
        <x:v>NPC1 / NPC2</x:v>
      </x:c>
      <x:c r="D12" s="272" t="str">
        <x:v>新增 3JD8、5KWY</x:v>
      </x:c>
      <x:c r="E12" s="273" t="str">
        <x:v>NPC1 全长与高分辨率腔内域应同时保留并区分</x:v>
      </x:c>
    </x:row>
  </x:sheetData>
  <x:pageMargins left="0.7" right="0.7" top="0.75" bottom="0.75" header="0.3" footer="0.3"/>
  <x:tableParts count="1">
    <x:tablePart xmlns:r="http://schemas.openxmlformats.org/officeDocument/2006/relationships" r:id="R31e7976b5fe64e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4" customHeight="1">
      <x:c r="A1" s="243" t="str">
        <x:v>#</x:v>
      </x:c>
      <x:c r="B1" s="243" t="str">
        <x:v>靶点名称 (promptLabel)</x:v>
      </x:c>
      <x:c r="C1" s="243" t="str">
        <x:v>target</x:v>
      </x:c>
      <x:c r="D1" s="243" t="str">
        <x:v>gene</x:v>
      </x:c>
      <x:c r="E1" s="243" t="str">
        <x:v>别名</x:v>
      </x:c>
      <x:c r="F1" s="243" t="str">
        <x:v>物种</x:v>
      </x:c>
      <x:c r="G1" s="243" t="str">
        <x:v>抗体格式</x:v>
      </x:c>
      <x:c r="H1" s="243" t="str">
        <x:v>PDB文件数</x:v>
      </x:c>
      <x:c r="I1" s="243" t="str">
        <x:v>结构来源</x:v>
      </x:c>
    </x:row>
    <x:row r="2" ht="42" customHeight="1">
      <x:c r="A2" s="265" t="str">
        <x:v>1</x:v>
      </x:c>
      <x:c r="B2" s="266" t="str">
        <x:v>IL-33/IL33</x:v>
      </x:c>
      <x:c r="C2" s="266" t="str">
        <x:v>IL-33</x:v>
      </x:c>
      <x:c r="D2" s="266" t="str">
        <x:v>IL33</x:v>
      </x:c>
      <x:c r="E2" s="266" t="str">
        <x:v>IL33</x:v>
      </x:c>
      <x:c r="F2" s="266" t="str">
        <x:v>Homo sapiens</x:v>
      </x:c>
      <x:c r="G2" s="266" t="str">
        <x:v>Fab</x:v>
      </x:c>
      <x:c r="H2" s="266" t="str">
        <x:v>15</x:v>
      </x:c>
      <x:c r="I2" s="267" t="str">
        <x:v>9X0J</x:v>
      </x:c>
    </x:row>
    <x:row r="3" ht="42" customHeight="1">
      <x:c r="A3" s="268" t="str">
        <x:v>2</x:v>
      </x:c>
      <x:c r="B3" s="269" t="str">
        <x:v>TSLP</x:v>
      </x:c>
      <x:c r="C3" s="269" t="str">
        <x:v>TSLP</x:v>
      </x:c>
      <x:c r="D3" s="269" t="str">
        <x:v>TSLP</x:v>
      </x:c>
      <x:c r="E3" s="269" t="str">
        <x:v>TSLP</x:v>
      </x:c>
      <x:c r="F3" s="269" t="str">
        <x:v>Homo sapiens</x:v>
      </x:c>
      <x:c r="G3" s="269" t="str">
        <x:v>Fab</x:v>
      </x:c>
      <x:c r="H3" s="269" t="str">
        <x:v>10</x:v>
      </x:c>
      <x:c r="I3" s="270" t="str">
        <x:v>5J13</x:v>
      </x:c>
    </x:row>
    <x:row r="4" ht="42" customHeight="1">
      <x:c r="A4" s="268" t="str">
        <x:v>3</x:v>
      </x:c>
      <x:c r="B4" s="269" t="str">
        <x:v>PD-L1/CD274</x:v>
      </x:c>
      <x:c r="C4" s="269" t="str">
        <x:v>PD-L1</x:v>
      </x:c>
      <x:c r="D4" s="269" t="str">
        <x:v>CD274</x:v>
      </x:c>
      <x:c r="E4" s="269" t="str">
        <x:v>CD274, B7-H1, PDL1</x:v>
      </x:c>
      <x:c r="F4" s="269" t="str">
        <x:v>Homo sapiens</x:v>
      </x:c>
      <x:c r="G4" s="269" t="str">
        <x:v>Fab</x:v>
      </x:c>
      <x:c r="H4" s="269" t="str">
        <x:v>10</x:v>
      </x:c>
      <x:c r="I4" s="270" t="str">
        <x:v>5X8L</x:v>
      </x:c>
    </x:row>
    <x:row r="5" ht="42" customHeight="1">
      <x:c r="A5" s="268" t="str">
        <x:v>4</x:v>
      </x:c>
      <x:c r="B5" s="269" t="str">
        <x:v>PD-1/PDCD1</x:v>
      </x:c>
      <x:c r="C5" s="269" t="str">
        <x:v>PD-1</x:v>
      </x:c>
      <x:c r="D5" s="269" t="str">
        <x:v>PDCD1</x:v>
      </x:c>
      <x:c r="E5" s="269" t="str">
        <x:v>PDCD1, PD1</x:v>
      </x:c>
      <x:c r="F5" s="269" t="str">
        <x:v>Homo sapiens</x:v>
      </x:c>
      <x:c r="G5" s="269" t="str">
        <x:v>Fab</x:v>
      </x:c>
      <x:c r="H5" s="269" t="str">
        <x:v>10</x:v>
      </x:c>
      <x:c r="I5" s="270" t="str">
        <x:v>5WT9</x:v>
      </x:c>
    </x:row>
    <x:row r="6" ht="42" customHeight="1">
      <x:c r="A6" s="268" t="str">
        <x:v>5</x:v>
      </x:c>
      <x:c r="B6" s="269" t="str">
        <x:v>CTLA-4/CTLA4</x:v>
      </x:c>
      <x:c r="C6" s="269" t="str">
        <x:v>CTLA-4</x:v>
      </x:c>
      <x:c r="D6" s="269" t="str">
        <x:v>CTLA4</x:v>
      </x:c>
      <x:c r="E6" s="269" t="str">
        <x:v>CTLA4, CD152</x:v>
      </x:c>
      <x:c r="F6" s="269" t="str">
        <x:v>Homo sapiens</x:v>
      </x:c>
      <x:c r="G6" s="269" t="str">
        <x:v>Fab</x:v>
      </x:c>
      <x:c r="H6" s="269" t="str">
        <x:v>10</x:v>
      </x:c>
      <x:c r="I6" s="270" t="str">
        <x:v>6RP8</x:v>
      </x:c>
    </x:row>
    <x:row r="7" ht="42" customHeight="1">
      <x:c r="A7" s="268" t="str">
        <x:v>6</x:v>
      </x:c>
      <x:c r="B7" s="269" t="str">
        <x:v>CD20/MS4A1</x:v>
      </x:c>
      <x:c r="C7" s="269" t="str">
        <x:v>CD20</x:v>
      </x:c>
      <x:c r="D7" s="269" t="str">
        <x:v>MS4A1</x:v>
      </x:c>
      <x:c r="E7" s="269" t="str">
        <x:v>MS4A1</x:v>
      </x:c>
      <x:c r="F7" s="269" t="str">
        <x:v>Homo sapiens</x:v>
      </x:c>
      <x:c r="G7" s="269" t="str">
        <x:v>Fab</x:v>
      </x:c>
      <x:c r="H7" s="269" t="str">
        <x:v>10</x:v>
      </x:c>
      <x:c r="I7" s="270" t="str">
        <x:v>6VJA</x:v>
      </x:c>
    </x:row>
    <x:row r="8" ht="42" customHeight="1">
      <x:c r="A8" s="268" t="str">
        <x:v>7</x:v>
      </x:c>
      <x:c r="B8" s="269" t="str">
        <x:v>CD19</x:v>
      </x:c>
      <x:c r="C8" s="269" t="str">
        <x:v>CD19</x:v>
      </x:c>
      <x:c r="D8" s="269" t="str">
        <x:v>CD19</x:v>
      </x:c>
      <x:c r="E8" s="269" t="str">
        <x:v>CD19</x:v>
      </x:c>
      <x:c r="F8" s="269" t="str">
        <x:v>Homo sapiens</x:v>
      </x:c>
      <x:c r="G8" s="269" t="str">
        <x:v>Fab</x:v>
      </x:c>
      <x:c r="H8" s="269" t="str">
        <x:v>10</x:v>
      </x:c>
      <x:c r="I8" s="270" t="str">
        <x:v>6AL5</x:v>
      </x:c>
    </x:row>
    <x:row r="9" ht="42" customHeight="1">
      <x:c r="A9" s="268" t="str">
        <x:v>8</x:v>
      </x:c>
      <x:c r="B9" s="269" t="str">
        <x:v>CD3/CD3E/CD3G</x:v>
      </x:c>
      <x:c r="C9" s="269" t="str">
        <x:v>CD3</x:v>
      </x:c>
      <x:c r="D9" s="269" t="str">
        <x:v>CD3E/CD3G</x:v>
      </x:c>
      <x:c r="E9" s="269" t="str">
        <x:v>CD3E, CD3 epsilon</x:v>
      </x:c>
      <x:c r="F9" s="269" t="str">
        <x:v>Homo sapiens</x:v>
      </x:c>
      <x:c r="G9" s="269" t="str">
        <x:v>Fab</x:v>
      </x:c>
      <x:c r="H9" s="269" t="str">
        <x:v>10</x:v>
      </x:c>
      <x:c r="I9" s="270" t="str">
        <x:v>1SY6</x:v>
      </x:c>
    </x:row>
    <x:row r="10" ht="42" customHeight="1">
      <x:c r="A10" s="268" t="str">
        <x:v>9</x:v>
      </x:c>
      <x:c r="B10" s="269" t="str">
        <x:v>CD4</x:v>
      </x:c>
      <x:c r="C10" s="269" t="str">
        <x:v>CD4</x:v>
      </x:c>
      <x:c r="D10" s="269" t="str">
        <x:v>CD4</x:v>
      </x:c>
      <x:c r="E10" s="269" t="str"/>
      <x:c r="F10" s="269" t="str">
        <x:v>Homo sapiens</x:v>
      </x:c>
      <x:c r="G10" s="269" t="str">
        <x:v>Fab</x:v>
      </x:c>
      <x:c r="H10" s="269" t="str">
        <x:v>1</x:v>
      </x:c>
      <x:c r="I10" s="270" t="str">
        <x:v>3O2D</x:v>
      </x:c>
    </x:row>
    <x:row r="11" ht="42" customHeight="1">
      <x:c r="A11" s="268" t="str">
        <x:v>10</x:v>
      </x:c>
      <x:c r="B11" s="269" t="str">
        <x:v>C5</x:v>
      </x:c>
      <x:c r="C11" s="269" t="str">
        <x:v>C5</x:v>
      </x:c>
      <x:c r="D11" s="269" t="str">
        <x:v>C5</x:v>
      </x:c>
      <x:c r="E11" s="269" t="str">
        <x:v>Complement C5</x:v>
      </x:c>
      <x:c r="F11" s="269" t="str">
        <x:v>Homo sapiens</x:v>
      </x:c>
      <x:c r="G11" s="269" t="str">
        <x:v>Fab</x:v>
      </x:c>
      <x:c r="H11" s="269" t="str">
        <x:v>10</x:v>
      </x:c>
      <x:c r="I11" s="270" t="str">
        <x:v>5I5K</x:v>
      </x:c>
    </x:row>
    <x:row r="12" ht="42" customHeight="1">
      <x:c r="A12" s="268" t="str">
        <x:v>11</x:v>
      </x:c>
      <x:c r="B12" s="269" t="str">
        <x:v>CFH</x:v>
      </x:c>
      <x:c r="C12" s="269" t="str">
        <x:v>CFH</x:v>
      </x:c>
      <x:c r="D12" s="269" t="str">
        <x:v>CFH</x:v>
      </x:c>
      <x:c r="E12" s="269" t="str"/>
      <x:c r="F12" s="269" t="str">
        <x:v>Homo sapiens</x:v>
      </x:c>
      <x:c r="G12" s="269" t="str">
        <x:v>VHH</x:v>
      </x:c>
      <x:c r="H12" s="269" t="str">
        <x:v>1</x:v>
      </x:c>
      <x:c r="I12" s="270" t="str">
        <x:v>7WKI</x:v>
      </x:c>
    </x:row>
    <x:row r="13" ht="42" customHeight="1">
      <x:c r="A13" s="268" t="str">
        <x:v>12</x:v>
      </x:c>
      <x:c r="B13" s="269" t="str">
        <x:v>IL-6R/IL6R</x:v>
      </x:c>
      <x:c r="C13" s="269" t="str">
        <x:v>IL-6R</x:v>
      </x:c>
      <x:c r="D13" s="269" t="str">
        <x:v>IL6R</x:v>
      </x:c>
      <x:c r="E13" s="269" t="str">
        <x:v>IL6R, CD126, IL-6Rα</x:v>
      </x:c>
      <x:c r="F13" s="269" t="str">
        <x:v>Homo sapiens</x:v>
      </x:c>
      <x:c r="G13" s="269" t="str">
        <x:v>Fab</x:v>
      </x:c>
      <x:c r="H13" s="269" t="str">
        <x:v>10</x:v>
      </x:c>
      <x:c r="I13" s="270" t="str">
        <x:v>8J6F</x:v>
      </x:c>
    </x:row>
    <x:row r="14" ht="42" customHeight="1">
      <x:c r="A14" s="268" t="str">
        <x:v>13</x:v>
      </x:c>
      <x:c r="B14" s="269" t="str">
        <x:v>IL-4Rα/IL4R</x:v>
      </x:c>
      <x:c r="C14" s="269" t="str">
        <x:v>IL-4Rα</x:v>
      </x:c>
      <x:c r="D14" s="269" t="str">
        <x:v>IL4R</x:v>
      </x:c>
      <x:c r="E14" s="269" t="str">
        <x:v>IL4R, IL4RA, CD124</x:v>
      </x:c>
      <x:c r="F14" s="269" t="str">
        <x:v>Homo sapiens</x:v>
      </x:c>
      <x:c r="G14" s="269" t="str">
        <x:v>Fab</x:v>
      </x:c>
      <x:c r="H14" s="269" t="str">
        <x:v>10</x:v>
      </x:c>
      <x:c r="I14" s="270" t="str">
        <x:v>6WGL</x:v>
      </x:c>
    </x:row>
    <x:row r="15" ht="42" customHeight="1">
      <x:c r="A15" s="268" t="str">
        <x:v>14</x:v>
      </x:c>
      <x:c r="B15" s="269" t="str">
        <x:v>CD25/IL2RA</x:v>
      </x:c>
      <x:c r="C15" s="269" t="str">
        <x:v>CD25</x:v>
      </x:c>
      <x:c r="D15" s="269" t="str">
        <x:v>IL2RA</x:v>
      </x:c>
      <x:c r="E15" s="269" t="str">
        <x:v>IL2RA</x:v>
      </x:c>
      <x:c r="F15" s="269" t="str">
        <x:v>Homo sapiens</x:v>
      </x:c>
      <x:c r="G15" s="269" t="str">
        <x:v>Fab</x:v>
      </x:c>
      <x:c r="H15" s="269" t="str">
        <x:v>10</x:v>
      </x:c>
      <x:c r="I15" s="270" t="str">
        <x:v>3NFP</x:v>
      </x:c>
    </x:row>
    <x:row r="16" ht="42" customHeight="1">
      <x:c r="A16" s="268" t="str">
        <x:v>15</x:v>
      </x:c>
      <x:c r="B16" s="269" t="str">
        <x:v>CD38</x:v>
      </x:c>
      <x:c r="C16" s="269" t="str">
        <x:v>CD38</x:v>
      </x:c>
      <x:c r="D16" s="269" t="str">
        <x:v>CD38</x:v>
      </x:c>
      <x:c r="E16" s="269" t="str">
        <x:v>CD38</x:v>
      </x:c>
      <x:c r="F16" s="269" t="str">
        <x:v>Homo sapiens</x:v>
      </x:c>
      <x:c r="G16" s="269" t="str">
        <x:v>Fab</x:v>
      </x:c>
      <x:c r="H16" s="269" t="str">
        <x:v>10</x:v>
      </x:c>
      <x:c r="I16" s="270" t="str">
        <x:v>7DUO</x:v>
      </x:c>
    </x:row>
    <x:row r="17" ht="42" customHeight="1">
      <x:c r="A17" s="268" t="str">
        <x:v>16</x:v>
      </x:c>
      <x:c r="B17" s="269" t="str">
        <x:v>TIGIT</x:v>
      </x:c>
      <x:c r="C17" s="269" t="str">
        <x:v>TIGIT</x:v>
      </x:c>
      <x:c r="D17" s="269" t="str">
        <x:v>TIGIT</x:v>
      </x:c>
      <x:c r="E17" s="269" t="str">
        <x:v>TIGIT</x:v>
      </x:c>
      <x:c r="F17" s="269" t="str">
        <x:v>Homo sapiens</x:v>
      </x:c>
      <x:c r="G17" s="269" t="str">
        <x:v>Fab</x:v>
      </x:c>
      <x:c r="H17" s="269" t="str">
        <x:v>10</x:v>
      </x:c>
      <x:c r="I17" s="270" t="str">
        <x:v>8VTD</x:v>
      </x:c>
    </x:row>
    <x:row r="18" ht="42" customHeight="1">
      <x:c r="A18" s="268" t="str">
        <x:v>17</x:v>
      </x:c>
      <x:c r="B18" s="269" t="str">
        <x:v>CD47</x:v>
      </x:c>
      <x:c r="C18" s="269" t="str">
        <x:v>CD47</x:v>
      </x:c>
      <x:c r="D18" s="269" t="str">
        <x:v>CD47</x:v>
      </x:c>
      <x:c r="E18" s="269" t="str">
        <x:v>CD47</x:v>
      </x:c>
      <x:c r="F18" s="269" t="str">
        <x:v>Homo sapiens</x:v>
      </x:c>
      <x:c r="G18" s="269" t="str">
        <x:v>Fab</x:v>
      </x:c>
      <x:c r="H18" s="269" t="str">
        <x:v>10</x:v>
      </x:c>
      <x:c r="I18" s="270" t="str">
        <x:v>8ZCA</x:v>
      </x:c>
    </x:row>
    <x:row r="19" ht="42" customHeight="1">
      <x:c r="A19" s="268" t="str">
        <x:v>18</x:v>
      </x:c>
      <x:c r="B19" s="269" t="str">
        <x:v>LAG-3/LAG3</x:v>
      </x:c>
      <x:c r="C19" s="269" t="str">
        <x:v>LAG-3</x:v>
      </x:c>
      <x:c r="D19" s="269" t="str">
        <x:v>LAG3</x:v>
      </x:c>
      <x:c r="E19" s="269" t="str">
        <x:v>LAG3</x:v>
      </x:c>
      <x:c r="F19" s="269" t="str">
        <x:v>Homo sapiens</x:v>
      </x:c>
      <x:c r="G19" s="269" t="str">
        <x:v>Fab</x:v>
      </x:c>
      <x:c r="H19" s="269" t="str">
        <x:v>10</x:v>
      </x:c>
      <x:c r="I19" s="270" t="str">
        <x:v>8SO3</x:v>
      </x:c>
    </x:row>
    <x:row r="20" ht="42" customHeight="1">
      <x:c r="A20" s="268" t="str">
        <x:v>19</x:v>
      </x:c>
      <x:c r="B20" s="269" t="str">
        <x:v>TROP-2/TACSTD2</x:v>
      </x:c>
      <x:c r="C20" s="269" t="str">
        <x:v>TROP-2</x:v>
      </x:c>
      <x:c r="D20" s="269" t="str">
        <x:v>TACSTD2</x:v>
      </x:c>
      <x:c r="E20" s="269" t="str">
        <x:v>TACSTD2</x:v>
      </x:c>
      <x:c r="F20" s="269" t="str">
        <x:v>Homo sapiens</x:v>
      </x:c>
      <x:c r="G20" s="269" t="str">
        <x:v>Fab</x:v>
      </x:c>
      <x:c r="H20" s="269" t="str">
        <x:v>10</x:v>
      </x:c>
      <x:c r="I20" s="270" t="str">
        <x:v>9PI9</x:v>
      </x:c>
    </x:row>
    <x:row r="21" ht="42" customHeight="1">
      <x:c r="A21" s="268" t="str">
        <x:v>20</x:v>
      </x:c>
      <x:c r="B21" s="269" t="str">
        <x:v>Tissue Factor/F3</x:v>
      </x:c>
      <x:c r="C21" s="269" t="str">
        <x:v>Tissue Factor</x:v>
      </x:c>
      <x:c r="D21" s="269" t="str">
        <x:v>F3</x:v>
      </x:c>
      <x:c r="E21" s="269" t="str">
        <x:v>F3, CD142, Thromboplastin, Coagulation factor III</x:v>
      </x:c>
      <x:c r="F21" s="269" t="str">
        <x:v>Homo sapiens</x:v>
      </x:c>
      <x:c r="G21" s="269" t="str">
        <x:v>Fab</x:v>
      </x:c>
      <x:c r="H21" s="269" t="str">
        <x:v>1</x:v>
      </x:c>
      <x:c r="I21" s="270" t="str">
        <x:v>1UJ3</x:v>
      </x:c>
    </x:row>
    <x:row r="22" ht="42" customHeight="1">
      <x:c r="A22" s="268" t="str">
        <x:v>21</x:v>
      </x:c>
      <x:c r="B22" s="269" t="str">
        <x:v>BCMA/TNFRSF17</x:v>
      </x:c>
      <x:c r="C22" s="269" t="str">
        <x:v>BCMA</x:v>
      </x:c>
      <x:c r="D22" s="269" t="str">
        <x:v>TNFRSF17</x:v>
      </x:c>
      <x:c r="E22" s="269" t="str">
        <x:v>TNFRSF17, CD269</x:v>
      </x:c>
      <x:c r="F22" s="269" t="str">
        <x:v>Homo sapiens</x:v>
      </x:c>
      <x:c r="G22" s="269" t="str">
        <x:v>Fab</x:v>
      </x:c>
      <x:c r="H22" s="269" t="str">
        <x:v>10</x:v>
      </x:c>
      <x:c r="I22" s="270" t="str">
        <x:v>9MQO</x:v>
      </x:c>
    </x:row>
    <x:row r="23" ht="42" customHeight="1">
      <x:c r="A23" s="268" t="str">
        <x:v>22</x:v>
      </x:c>
      <x:c r="B23" s="269" t="str">
        <x:v>IgE/IGH</x:v>
      </x:c>
      <x:c r="C23" s="269" t="str">
        <x:v>IgE</x:v>
      </x:c>
      <x:c r="D23" s="269" t="str">
        <x:v>IGH</x:v>
      </x:c>
      <x:c r="E23" s="269" t="str">
        <x:v>Immunoglobulin E</x:v>
      </x:c>
      <x:c r="F23" s="269" t="str">
        <x:v>Homo sapiens</x:v>
      </x:c>
      <x:c r="G23" s="269" t="str">
        <x:v>Fab</x:v>
      </x:c>
      <x:c r="H23" s="269" t="str">
        <x:v>10</x:v>
      </x:c>
      <x:c r="I23" s="270" t="str">
        <x:v>5G64</x:v>
      </x:c>
    </x:row>
    <x:row r="24" ht="42" customHeight="1">
      <x:c r="A24" s="268" t="str">
        <x:v>23</x:v>
      </x:c>
      <x:c r="B24" s="269" t="str">
        <x:v>CGRP receptor/CALCRL/RAMP1</x:v>
      </x:c>
      <x:c r="C24" s="269" t="str">
        <x:v>CGRP receptor</x:v>
      </x:c>
      <x:c r="D24" s="269" t="str">
        <x:v>CALCRL/RAMP1</x:v>
      </x:c>
      <x:c r="E24" s="269" t="str">
        <x:v>CGRPR, CALCRL, RAMP1</x:v>
      </x:c>
      <x:c r="F24" s="269" t="str">
        <x:v>Homo sapiens</x:v>
      </x:c>
      <x:c r="G24" s="269" t="str">
        <x:v>Fab</x:v>
      </x:c>
      <x:c r="H24" s="269" t="str">
        <x:v>10</x:v>
      </x:c>
      <x:c r="I24" s="270" t="str">
        <x:v>6UMG</x:v>
      </x:c>
    </x:row>
    <x:row r="25" ht="42" customHeight="1">
      <x:c r="A25" s="268" t="str">
        <x:v>24</x:v>
      </x:c>
      <x:c r="B25" s="269" t="str">
        <x:v>HER2/ERBB2</x:v>
      </x:c>
      <x:c r="C25" s="269" t="str">
        <x:v>HER2</x:v>
      </x:c>
      <x:c r="D25" s="269" t="str">
        <x:v>ERBB2</x:v>
      </x:c>
      <x:c r="E25" s="269" t="str">
        <x:v>ERBB2, HER-2</x:v>
      </x:c>
      <x:c r="F25" s="269" t="str">
        <x:v>Homo sapiens</x:v>
      </x:c>
      <x:c r="G25" s="269" t="str">
        <x:v>Fab</x:v>
      </x:c>
      <x:c r="H25" s="269" t="str">
        <x:v>10</x:v>
      </x:c>
      <x:c r="I25" s="270" t="str">
        <x:v>1N8Z</x:v>
      </x:c>
    </x:row>
    <x:row r="26" ht="42" customHeight="1">
      <x:c r="A26" s="268" t="str">
        <x:v>25</x:v>
      </x:c>
      <x:c r="B26" s="269" t="str">
        <x:v>EGFR</x:v>
      </x:c>
      <x:c r="C26" s="269" t="str">
        <x:v>EGFR</x:v>
      </x:c>
      <x:c r="D26" s="269" t="str">
        <x:v>EGFR</x:v>
      </x:c>
      <x:c r="E26" s="269" t="str">
        <x:v>ERBB1</x:v>
      </x:c>
      <x:c r="F26" s="269" t="str">
        <x:v>Homo sapiens</x:v>
      </x:c>
      <x:c r="G26" s="269" t="str">
        <x:v>Fab</x:v>
      </x:c>
      <x:c r="H26" s="269" t="str">
        <x:v>10</x:v>
      </x:c>
      <x:c r="I26" s="270" t="str">
        <x:v>1YY9</x:v>
      </x:c>
    </x:row>
    <x:row r="27" ht="42" customHeight="1">
      <x:c r="A27" s="268" t="str">
        <x:v>26</x:v>
      </x:c>
      <x:c r="B27" s="269" t="str">
        <x:v>VEGF-A/VEGFA</x:v>
      </x:c>
      <x:c r="C27" s="269" t="str">
        <x:v>VEGF-A</x:v>
      </x:c>
      <x:c r="D27" s="269" t="str">
        <x:v>VEGFA</x:v>
      </x:c>
      <x:c r="E27" s="269" t="str">
        <x:v>VEGFA, VEGF</x:v>
      </x:c>
      <x:c r="F27" s="269" t="str">
        <x:v>Homo sapiens</x:v>
      </x:c>
      <x:c r="G27" s="269" t="str">
        <x:v>Fab</x:v>
      </x:c>
      <x:c r="H27" s="269" t="str">
        <x:v>10</x:v>
      </x:c>
      <x:c r="I27" s="270" t="str">
        <x:v>1BJ1</x:v>
      </x:c>
    </x:row>
    <x:row r="28" ht="42" customHeight="1">
      <x:c r="A28" s="268" t="str">
        <x:v>27</x:v>
      </x:c>
      <x:c r="B28" s="269" t="str">
        <x:v>TNF</x:v>
      </x:c>
      <x:c r="C28" s="269" t="str">
        <x:v>TNF</x:v>
      </x:c>
      <x:c r="D28" s="269" t="str">
        <x:v>TNF</x:v>
      </x:c>
      <x:c r="E28" s="269" t="str">
        <x:v>TNF-alpha, TNFα</x:v>
      </x:c>
      <x:c r="F28" s="269" t="str">
        <x:v>Homo sapiens</x:v>
      </x:c>
      <x:c r="G28" s="269" t="str">
        <x:v>Fab</x:v>
      </x:c>
      <x:c r="H28" s="269" t="str">
        <x:v>10</x:v>
      </x:c>
      <x:c r="I28" s="270" t="str">
        <x:v>5WUX</x:v>
      </x:c>
    </x:row>
    <x:row r="29" ht="42" customHeight="1">
      <x:c r="A29" s="268" t="str">
        <x:v>28</x:v>
      </x:c>
      <x:c r="B29" s="269" t="str">
        <x:v>IL-17A/IL17A</x:v>
      </x:c>
      <x:c r="C29" s="269" t="str">
        <x:v>IL-17A</x:v>
      </x:c>
      <x:c r="D29" s="269" t="str">
        <x:v>IL17A</x:v>
      </x:c>
      <x:c r="E29" s="269" t="str">
        <x:v>IL17A</x:v>
      </x:c>
      <x:c r="F29" s="269" t="str">
        <x:v>Homo sapiens</x:v>
      </x:c>
      <x:c r="G29" s="269" t="str">
        <x:v>Fab</x:v>
      </x:c>
      <x:c r="H29" s="269" t="str">
        <x:v>10</x:v>
      </x:c>
      <x:c r="I29" s="270" t="str">
        <x:v>2VXS</x:v>
      </x:c>
    </x:row>
    <x:row r="30" ht="42" customHeight="1">
      <x:c r="A30" s="268" t="str">
        <x:v>29</x:v>
      </x:c>
      <x:c r="B30" s="269" t="str">
        <x:v>IL-23/IL23A/IL12B</x:v>
      </x:c>
      <x:c r="C30" s="269" t="str">
        <x:v>IL-23</x:v>
      </x:c>
      <x:c r="D30" s="269" t="str">
        <x:v>IL23A/IL12B</x:v>
      </x:c>
      <x:c r="E30" s="269" t="str">
        <x:v>IL23, IL23A</x:v>
      </x:c>
      <x:c r="F30" s="269" t="str">
        <x:v>Homo sapiens</x:v>
      </x:c>
      <x:c r="G30" s="269" t="str">
        <x:v>Fab</x:v>
      </x:c>
      <x:c r="H30" s="269" t="str">
        <x:v>10</x:v>
      </x:c>
      <x:c r="I30" s="270" t="str">
        <x:v>3D85</x:v>
      </x:c>
    </x:row>
    <x:row r="31" ht="42" customHeight="1">
      <x:c r="A31" s="268" t="str">
        <x:v>30</x:v>
      </x:c>
      <x:c r="B31" s="269" t="str">
        <x:v>RSV F/F</x:v>
      </x:c>
      <x:c r="C31" s="269" t="str">
        <x:v>RSV F</x:v>
      </x:c>
      <x:c r="D31" s="269" t="str">
        <x:v>F</x:v>
      </x:c>
      <x:c r="E31" s="269" t="str">
        <x:v>Respiratory syncytial virus F, RSV fusion protein</x:v>
      </x:c>
      <x:c r="F31" s="269" t="str">
        <x:v>Respiratory syncytial virus</x:v>
      </x:c>
      <x:c r="G31" s="269" t="str">
        <x:v>Fab</x:v>
      </x:c>
      <x:c r="H31" s="269" t="str">
        <x:v>10</x:v>
      </x:c>
      <x:c r="I31" s="270" t="str">
        <x:v>5W23</x:v>
      </x:c>
    </x:row>
    <x:row r="32" ht="42" customHeight="1">
      <x:c r="A32" s="268" t="str">
        <x:v>31</x:v>
      </x:c>
      <x:c r="B32" s="269" t="str">
        <x:v>SARS-CoV-2 RBD/S</x:v>
      </x:c>
      <x:c r="C32" s="269" t="str">
        <x:v>SARS-CoV-2 RBD</x:v>
      </x:c>
      <x:c r="D32" s="269" t="str">
        <x:v>S</x:v>
      </x:c>
      <x:c r="E32" s="269" t="str">
        <x:v>SARS-CoV-2 receptor-binding domain, SC2 RBD, RBD</x:v>
      </x:c>
      <x:c r="F32" s="269" t="str">
        <x:v>Severe acute respiratory syndrome coronavirus 2</x:v>
      </x:c>
      <x:c r="G32" s="269" t="str">
        <x:v>Fab</x:v>
      </x:c>
      <x:c r="H32" s="269" t="str">
        <x:v>10</x:v>
      </x:c>
      <x:c r="I32" s="270" t="str">
        <x:v>6XDG</x:v>
      </x:c>
    </x:row>
    <x:row r="33" ht="42" customHeight="1">
      <x:c r="A33" s="268" t="str">
        <x:v>32</x:v>
      </x:c>
      <x:c r="B33" s="269" t="str">
        <x:v>Influenza HA/HA</x:v>
      </x:c>
      <x:c r="C33" s="269" t="str">
        <x:v>Influenza HA</x:v>
      </x:c>
      <x:c r="D33" s="269" t="str">
        <x:v>HA</x:v>
      </x:c>
      <x:c r="E33" s="269" t="str">
        <x:v>Influenza hemagglutinin, Flu HA, 血凝素</x:v>
      </x:c>
      <x:c r="F33" s="269" t="str">
        <x:v>Influenza A virus</x:v>
      </x:c>
      <x:c r="G33" s="269" t="str">
        <x:v>Fab</x:v>
      </x:c>
      <x:c r="H33" s="269" t="str">
        <x:v>10</x:v>
      </x:c>
      <x:c r="I33" s="270" t="str">
        <x:v>3GBM</x:v>
      </x:c>
    </x:row>
    <x:row r="34" ht="42" customHeight="1">
      <x:c r="A34" s="268" t="str">
        <x:v>33</x:v>
      </x:c>
      <x:c r="B34" s="269" t="str">
        <x:v>Influenza NA/NA</x:v>
      </x:c>
      <x:c r="C34" s="269" t="str">
        <x:v>Influenza NA</x:v>
      </x:c>
      <x:c r="D34" s="269" t="str">
        <x:v>NA</x:v>
      </x:c>
      <x:c r="E34" s="269" t="str">
        <x:v>Influenza neuraminidase, Flu NA, 神经氨酸酶</x:v>
      </x:c>
      <x:c r="F34" s="269" t="str">
        <x:v>Influenza A virus</x:v>
      </x:c>
      <x:c r="G34" s="269" t="str">
        <x:v>Fab</x:v>
      </x:c>
      <x:c r="H34" s="269" t="str">
        <x:v>10</x:v>
      </x:c>
      <x:c r="I34" s="270" t="str">
        <x:v>1NCD</x:v>
      </x:c>
    </x:row>
    <x:row r="35" ht="42" customHeight="1">
      <x:c r="A35" s="268" t="str">
        <x:v>34</x:v>
      </x:c>
      <x:c r="B35" s="269" t="str">
        <x:v>PCSK9</x:v>
      </x:c>
      <x:c r="C35" s="269" t="str">
        <x:v>PCSK9</x:v>
      </x:c>
      <x:c r="D35" s="269" t="str">
        <x:v>PCSK9</x:v>
      </x:c>
      <x:c r="E35" s="269" t="str">
        <x:v>PCSK9</x:v>
      </x:c>
      <x:c r="F35" s="269" t="str">
        <x:v>Homo sapiens</x:v>
      </x:c>
      <x:c r="G35" s="269" t="str">
        <x:v>Fab</x:v>
      </x:c>
      <x:c r="H35" s="269" t="str">
        <x:v>10</x:v>
      </x:c>
      <x:c r="I35" s="270" t="str">
        <x:v>3SQO</x:v>
      </x:c>
    </x:row>
    <x:row r="36" ht="42" customHeight="1">
      <x:c r="A36" s="268" t="str">
        <x:v>35</x:v>
      </x:c>
      <x:c r="B36" s="269" t="str">
        <x:v>ANGPTL3</x:v>
      </x:c>
      <x:c r="C36" s="269" t="str">
        <x:v>ANGPTL3</x:v>
      </x:c>
      <x:c r="D36" s="269" t="str">
        <x:v>ANGPTL3</x:v>
      </x:c>
      <x:c r="E36" s="269" t="str">
        <x:v>ANGPTL3</x:v>
      </x:c>
      <x:c r="F36" s="269" t="str">
        <x:v>Homo sapiens</x:v>
      </x:c>
      <x:c r="G36" s="269" t="str">
        <x:v>Fab</x:v>
      </x:c>
      <x:c r="H36" s="269" t="str">
        <x:v>10</x:v>
      </x:c>
      <x:c r="I36" s="270" t="str">
        <x:v>6EUA</x:v>
      </x:c>
    </x:row>
    <x:row r="37" ht="42" customHeight="1">
      <x:c r="A37" s="268" t="str">
        <x:v>36</x:v>
      </x:c>
      <x:c r="B37" s="269" t="str">
        <x:v>IL-1B/IL1B</x:v>
      </x:c>
      <x:c r="C37" s="269" t="str">
        <x:v>IL-1B</x:v>
      </x:c>
      <x:c r="D37" s="269" t="str">
        <x:v>IL1B</x:v>
      </x:c>
      <x:c r="E37" s="269" t="str">
        <x:v>IL1B, IL-1β, IL-1 beta</x:v>
      </x:c>
      <x:c r="F37" s="269" t="str">
        <x:v>Homo sapiens</x:v>
      </x:c>
      <x:c r="G37" s="269" t="str">
        <x:v>Fab</x:v>
      </x:c>
      <x:c r="H37" s="269" t="str">
        <x:v>10</x:v>
      </x:c>
      <x:c r="I37" s="270" t="str">
        <x:v>5BVP</x:v>
      </x:c>
    </x:row>
    <x:row r="38" ht="42" customHeight="1">
      <x:c r="A38" s="268" t="str">
        <x:v>37</x:v>
      </x:c>
      <x:c r="B38" s="269" t="str">
        <x:v>GIPR</x:v>
      </x:c>
      <x:c r="C38" s="269" t="str">
        <x:v>GIPR</x:v>
      </x:c>
      <x:c r="D38" s="269" t="str">
        <x:v>GIPR</x:v>
      </x:c>
      <x:c r="E38" s="269" t="str">
        <x:v>GIP receptor</x:v>
      </x:c>
      <x:c r="F38" s="269" t="str">
        <x:v>Homo sapiens</x:v>
      </x:c>
      <x:c r="G38" s="269" t="str">
        <x:v>Fab</x:v>
      </x:c>
      <x:c r="H38" s="269" t="str">
        <x:v>10</x:v>
      </x:c>
      <x:c r="I38" s="270" t="str">
        <x:v>4HJ0</x:v>
      </x:c>
    </x:row>
    <x:row r="39" ht="42" customHeight="1">
      <x:c r="A39" s="268" t="str">
        <x:v>38</x:v>
      </x:c>
      <x:c r="B39" s="269" t="str">
        <x:v>Amyloid-beta/APP</x:v>
      </x:c>
      <x:c r="C39" s="269" t="str">
        <x:v>Amyloid-beta</x:v>
      </x:c>
      <x:c r="D39" s="269" t="str">
        <x:v>APP</x:v>
      </x:c>
      <x:c r="E39" s="269" t="str">
        <x:v>Aβ, Abeta, Amyloid beta, Amyloid-beta</x:v>
      </x:c>
      <x:c r="F39" s="269" t="str">
        <x:v>Homo sapiens</x:v>
      </x:c>
      <x:c r="G39" s="269" t="str">
        <x:v>Fab</x:v>
      </x:c>
      <x:c r="H39" s="269" t="str">
        <x:v>1</x:v>
      </x:c>
      <x:c r="I39" s="270" t="str">
        <x:v>4OJF</x:v>
      </x:c>
    </x:row>
    <x:row r="40" ht="42" customHeight="1">
      <x:c r="A40" s="268" t="str">
        <x:v>39</x:v>
      </x:c>
      <x:c r="B40" s="269" t="str">
        <x:v>Tau/MAPT</x:v>
      </x:c>
      <x:c r="C40" s="269" t="str">
        <x:v>Tau</x:v>
      </x:c>
      <x:c r="D40" s="269" t="str">
        <x:v>MAPT</x:v>
      </x:c>
      <x:c r="E40" s="269" t="str">
        <x:v>MAPT, PHF-Tau, Tau protein</x:v>
      </x:c>
      <x:c r="F40" s="269" t="str">
        <x:v>Homo sapiens</x:v>
      </x:c>
      <x:c r="G40" s="269" t="str">
        <x:v>Fab</x:v>
      </x:c>
      <x:c r="H40" s="269" t="str">
        <x:v>1</x:v>
      </x:c>
      <x:c r="I40" s="270" t="str">
        <x:v>6PXR</x:v>
      </x:c>
    </x:row>
    <x:row r="41" ht="42" customHeight="1">
      <x:c r="A41" s="268" t="str">
        <x:v>40</x:v>
      </x:c>
      <x:c r="B41" s="269" t="str">
        <x:v>TREM2</x:v>
      </x:c>
      <x:c r="C41" s="269" t="str">
        <x:v>TREM2</x:v>
      </x:c>
      <x:c r="D41" s="269" t="str">
        <x:v>TREM2</x:v>
      </x:c>
      <x:c r="E41" s="269" t="str">
        <x:v>Triggering receptor expressed on myeloid cells 2</x:v>
      </x:c>
      <x:c r="F41" s="269" t="str">
        <x:v>Homo sapiens</x:v>
      </x:c>
      <x:c r="G41" s="269" t="str">
        <x:v>Fab</x:v>
      </x:c>
      <x:c r="H41" s="269" t="str">
        <x:v>1</x:v>
      </x:c>
      <x:c r="I41" s="270" t="str">
        <x:v>9PWN</x:v>
      </x:c>
    </x:row>
    <x:row r="42" ht="42" customHeight="1">
      <x:c r="A42" s="268" t="str">
        <x:v>41</x:v>
      </x:c>
      <x:c r="B42" s="269" t="str">
        <x:v>DAT/SLC6A3</x:v>
      </x:c>
      <x:c r="C42" s="269" t="str">
        <x:v>DAT</x:v>
      </x:c>
      <x:c r="D42" s="269" t="str">
        <x:v>SLC6A3</x:v>
      </x:c>
      <x:c r="E42" s="269" t="str">
        <x:v>SLC6A3, DAT1, dopamine transporter</x:v>
      </x:c>
      <x:c r="F42" s="269" t="str">
        <x:v>Homo sapiens</x:v>
      </x:c>
      <x:c r="G42" s="269" t="str">
        <x:v>Fab</x:v>
      </x:c>
      <x:c r="H42" s="269" t="str">
        <x:v>10</x:v>
      </x:c>
      <x:c r="I42" s="270" t="str">
        <x:v>9EO4</x:v>
      </x:c>
    </x:row>
    <x:row r="43" ht="42" customHeight="1">
      <x:c r="A43" s="268" t="str">
        <x:v>42</x:v>
      </x:c>
      <x:c r="B43" s="269" t="str">
        <x:v>TSHR</x:v>
      </x:c>
      <x:c r="C43" s="269" t="str">
        <x:v>TSHR</x:v>
      </x:c>
      <x:c r="D43" s="269" t="str">
        <x:v>TSHR</x:v>
      </x:c>
      <x:c r="E43" s="269" t="str">
        <x:v>Thyrotropin receptor, Thyroid-stimulating hormone receptor, 促甲状腺激素受体</x:v>
      </x:c>
      <x:c r="F43" s="269" t="str">
        <x:v>Homo sapiens</x:v>
      </x:c>
      <x:c r="G43" s="269" t="str">
        <x:v>Fab</x:v>
      </x:c>
      <x:c r="H43" s="269" t="str">
        <x:v>1</x:v>
      </x:c>
      <x:c r="I43" s="270" t="str">
        <x:v>7T9M</x:v>
      </x:c>
    </x:row>
    <x:row r="44" ht="42" customHeight="1">
      <x:c r="A44" s="268" t="str">
        <x:v>43</x:v>
      </x:c>
      <x:c r="B44" s="269" t="str">
        <x:v>alpha-synuclein/SNCA</x:v>
      </x:c>
      <x:c r="C44" s="269" t="str">
        <x:v>alpha-synuclein</x:v>
      </x:c>
      <x:c r="D44" s="269" t="str">
        <x:v>SNCA</x:v>
      </x:c>
      <x:c r="E44" s="269" t="str">
        <x:v>SNCA, α-synuclein, Alpha synuclein, 突触核蛋白</x:v>
      </x:c>
      <x:c r="F44" s="269" t="str">
        <x:v>Homo sapiens</x:v>
      </x:c>
      <x:c r="G44" s="269" t="str">
        <x:v>Fab</x:v>
      </x:c>
      <x:c r="H44" s="269" t="str">
        <x:v>1</x:v>
      </x:c>
      <x:c r="I44" s="270" t="str">
        <x:v>8OG0</x:v>
      </x:c>
    </x:row>
    <x:row r="45" ht="42" customHeight="1">
      <x:c r="A45" s="268" t="str">
        <x:v>44</x:v>
      </x:c>
      <x:c r="B45" s="269" t="str">
        <x:v>AQP4</x:v>
      </x:c>
      <x:c r="C45" s="269" t="str">
        <x:v>AQP4</x:v>
      </x:c>
      <x:c r="D45" s="269" t="str">
        <x:v>AQP4</x:v>
      </x:c>
      <x:c r="E45" s="269" t="str">
        <x:v>AQP-4, Aquaporin-4, 水通道蛋白4</x:v>
      </x:c>
      <x:c r="F45" s="269" t="str">
        <x:v>Homo sapiens</x:v>
      </x:c>
      <x:c r="G45" s="269" t="str">
        <x:v>Fab</x:v>
      </x:c>
      <x:c r="H45" s="269" t="str">
        <x:v>1</x:v>
      </x:c>
      <x:c r="I45" s="270" t="str">
        <x:v>8V91</x:v>
      </x:c>
    </x:row>
    <x:row r="46" ht="42" customHeight="1">
      <x:c r="A46" s="268" t="str">
        <x:v>45</x:v>
      </x:c>
      <x:c r="B46" s="269" t="str">
        <x:v>Canine NGF/NGF</x:v>
      </x:c>
      <x:c r="C46" s="269" t="str">
        <x:v>Canine NGF</x:v>
      </x:c>
      <x:c r="D46" s="269" t="str">
        <x:v>NGF</x:v>
      </x:c>
      <x:c r="E46" s="269" t="str">
        <x:v>dog NGF, dog nerve growth factor, 犬源 NGF, 犬 NGF</x:v>
      </x:c>
      <x:c r="F46" s="269" t="str">
        <x:v>Canis lupus familiaris</x:v>
      </x:c>
      <x:c r="G46" s="269" t="str">
        <x:v>Fab</x:v>
      </x:c>
      <x:c r="H46" s="269" t="str">
        <x:v>10</x:v>
      </x:c>
      <x:c r="I46" s="270" t="str">
        <x:v>4EDW</x:v>
      </x:c>
    </x:row>
    <x:row r="47" ht="42" customHeight="1">
      <x:c r="A47" s="268" t="str">
        <x:v>46</x:v>
      </x:c>
      <x:c r="B47" s="269" t="str">
        <x:v>PF4/CXCL4</x:v>
      </x:c>
      <x:c r="C47" s="269" t="str">
        <x:v>PF4</x:v>
      </x:c>
      <x:c r="D47" s="269" t="str">
        <x:v>CXCL4</x:v>
      </x:c>
      <x:c r="E47" s="269" t="str">
        <x:v>CXCL4, platelet factor 4</x:v>
      </x:c>
      <x:c r="F47" s="269" t="str">
        <x:v>Homo sapiens</x:v>
      </x:c>
      <x:c r="G47" s="269" t="str">
        <x:v>Fab</x:v>
      </x:c>
      <x:c r="H47" s="269" t="str">
        <x:v>10</x:v>
      </x:c>
      <x:c r="I47" s="270" t="str">
        <x:v>1F9Q</x:v>
      </x:c>
    </x:row>
    <x:row r="48" ht="42" customHeight="1">
      <x:c r="A48" s="268" t="str">
        <x:v>47</x:v>
      </x:c>
      <x:c r="B48" s="269" t="str">
        <x:v>Adenovirus hexon/L3</x:v>
      </x:c>
      <x:c r="C48" s="269" t="str">
        <x:v>Adenovirus hexon</x:v>
      </x:c>
      <x:c r="D48" s="269" t="str">
        <x:v>L3</x:v>
      </x:c>
      <x:c r="E48" s="269" t="str">
        <x:v>human adenovirus hexon, adenovirus hexon, HAdV hexon</x:v>
      </x:c>
      <x:c r="F48" s="269" t="str">
        <x:v>Human adenovirus 57</x:v>
      </x:c>
      <x:c r="G48" s="269" t="str">
        <x:v>Fab</x:v>
      </x:c>
      <x:c r="H48" s="269" t="str">
        <x:v>10</x:v>
      </x:c>
      <x:c r="I48" s="270" t="str">
        <x:v>10DP</x:v>
      </x:c>
    </x:row>
    <x:row r="49" ht="42" customHeight="1">
      <x:c r="A49" s="268" t="str">
        <x:v>48</x:v>
      </x:c>
      <x:c r="B49" s="269" t="str">
        <x:v>Influenza M2/M2</x:v>
      </x:c>
      <x:c r="C49" s="269" t="str">
        <x:v>Influenza M2</x:v>
      </x:c>
      <x:c r="D49" s="269" t="str">
        <x:v>M2</x:v>
      </x:c>
      <x:c r="E49" s="269" t="str">
        <x:v>M2e, matrix protein 2, influenza matrix protein 2</x:v>
      </x:c>
      <x:c r="F49" s="269" t="str">
        <x:v>Influenza A virus</x:v>
      </x:c>
      <x:c r="G49" s="269" t="str">
        <x:v>Fab</x:v>
      </x:c>
      <x:c r="H49" s="269" t="str">
        <x:v>10</x:v>
      </x:c>
      <x:c r="I49" s="270" t="str">
        <x:v>4N8C</x:v>
      </x:c>
    </x:row>
    <x:row r="50" ht="42" customHeight="1">
      <x:c r="A50" s="268" t="str">
        <x:v>49</x:v>
      </x:c>
      <x:c r="B50" s="269" t="str">
        <x:v>PRRSV GP4/GP4</x:v>
      </x:c>
      <x:c r="C50" s="269" t="str">
        <x:v>PRRSV GP4</x:v>
      </x:c>
      <x:c r="D50" s="269" t="str">
        <x:v>GP4</x:v>
      </x:c>
      <x:c r="E50" s="269" t="str">
        <x:v>PRRSV-2 GP4, GP4, porcine reproductive and respiratory syndrome virus GP4</x:v>
      </x:c>
      <x:c r="F50" s="269" t="str">
        <x:v>Porcine reproductive and respiratory syndrome virus</x:v>
      </x:c>
      <x:c r="G50" s="269" t="str">
        <x:v>Fab</x:v>
      </x:c>
      <x:c r="H50" s="269" t="str">
        <x:v>10</x:v>
      </x:c>
      <x:c r="I50" s="270" t="str">
        <x:v>29TJ</x:v>
      </x:c>
    </x:row>
    <x:row r="51" ht="42" customHeight="1">
      <x:c r="A51" s="268" t="str">
        <x:v>50</x:v>
      </x:c>
      <x:c r="B51" s="269" t="str">
        <x:v>PRRSV NSP10/NSP10</x:v>
      </x:c>
      <x:c r="C51" s="269" t="str">
        <x:v>PRRSV NSP10</x:v>
      </x:c>
      <x:c r="D51" s="269" t="str">
        <x:v>NSP10</x:v>
      </x:c>
      <x:c r="E51" s="269" t="str">
        <x:v>PRRSV nsp10, NSP10, porcine reproductive and respiratory syndrome virus NSP10</x:v>
      </x:c>
      <x:c r="F51" s="269" t="str">
        <x:v>Porcine reproductive and respiratory syndrome virus</x:v>
      </x:c>
      <x:c r="G51" s="269" t="str">
        <x:v>Fab</x:v>
      </x:c>
      <x:c r="H51" s="269" t="str">
        <x:v>10</x:v>
      </x:c>
      <x:c r="I51" s="270" t="str">
        <x:v>6JDS</x:v>
      </x:c>
    </x:row>
    <x:row r="52" ht="42" customHeight="1">
      <x:c r="A52" s="268" t="str">
        <x:v>51</x:v>
      </x:c>
      <x:c r="B52" s="269" t="str">
        <x:v>HSV gD/gD</x:v>
      </x:c>
      <x:c r="C52" s="269" t="str">
        <x:v>HSV gD</x:v>
      </x:c>
      <x:c r="D52" s="269" t="str">
        <x:v>gD</x:v>
      </x:c>
      <x:c r="E52" s="269" t="str">
        <x:v>gD, glycoprotein D, HSV glycoprotein D</x:v>
      </x:c>
      <x:c r="F52" s="269" t="str">
        <x:v>Human herpesvirus 1</x:v>
      </x:c>
      <x:c r="G52" s="269" t="str">
        <x:v>Fab</x:v>
      </x:c>
      <x:c r="H52" s="269" t="str">
        <x:v>10</x:v>
      </x:c>
      <x:c r="I52" s="270" t="str">
        <x:v>2C36</x:v>
      </x:c>
    </x:row>
    <x:row r="53" ht="42" customHeight="1">
      <x:c r="A53" s="268" t="str">
        <x:v>52</x:v>
      </x:c>
      <x:c r="B53" s="269" t="str">
        <x:v>PCV2 capsid/CAP</x:v>
      </x:c>
      <x:c r="C53" s="269" t="str">
        <x:v>PCV2 capsid</x:v>
      </x:c>
      <x:c r="D53" s="269" t="str">
        <x:v>CAP</x:v>
      </x:c>
      <x:c r="E53" s="269" t="str">
        <x:v>PCV2, porcine circovirus 2 capsid, CAP, ORF2</x:v>
      </x:c>
      <x:c r="F53" s="269" t="str">
        <x:v>Porcine circovirus 2</x:v>
      </x:c>
      <x:c r="G53" s="269" t="str">
        <x:v>Fab</x:v>
      </x:c>
      <x:c r="H53" s="269" t="str">
        <x:v>10</x:v>
      </x:c>
      <x:c r="I53" s="270" t="str">
        <x:v>3R0R</x:v>
      </x:c>
    </x:row>
    <x:row r="54" ht="42" customHeight="1">
      <x:c r="A54" s="268" t="str">
        <x:v>53</x:v>
      </x:c>
      <x:c r="B54" s="269" t="str">
        <x:v>PEDV spike/S</x:v>
      </x:c>
      <x:c r="C54" s="269" t="str">
        <x:v>PEDV spike</x:v>
      </x:c>
      <x:c r="D54" s="269" t="str">
        <x:v>S</x:v>
      </x:c>
      <x:c r="E54" s="269" t="str">
        <x:v>PEDV S, spike glycoprotein, porcine epidemic diarrhea virus spike</x:v>
      </x:c>
      <x:c r="F54" s="269" t="str">
        <x:v>Porcine epidemic diarrhea virus</x:v>
      </x:c>
      <x:c r="G54" s="269" t="str">
        <x:v>Fab</x:v>
      </x:c>
      <x:c r="H54" s="269" t="str">
        <x:v>10</x:v>
      </x:c>
      <x:c r="I54" s="270" t="str">
        <x:v>6VV5</x:v>
      </x:c>
    </x:row>
    <x:row r="55" ht="42" customHeight="1">
      <x:c r="A55" s="268" t="str">
        <x:v>54</x:v>
      </x:c>
      <x:c r="B55" s="269" t="str">
        <x:v>CSFV NS5B/NS5B</x:v>
      </x:c>
      <x:c r="C55" s="269" t="str">
        <x:v>CSFV NS5B</x:v>
      </x:c>
      <x:c r="D55" s="269" t="str">
        <x:v>NS5B</x:v>
      </x:c>
      <x:c r="E55" s="269" t="str">
        <x:v>classical swine fever virus NS5B, NS5B</x:v>
      </x:c>
      <x:c r="F55" s="269" t="str">
        <x:v>Classical swine fever virus</x:v>
      </x:c>
      <x:c r="G55" s="269" t="str">
        <x:v>Fab</x:v>
      </x:c>
      <x:c r="H55" s="269" t="str">
        <x:v>10</x:v>
      </x:c>
      <x:c r="I55" s="270" t="str">
        <x:v>7EKJ</x:v>
      </x:c>
    </x:row>
    <x:row r="56" ht="42" customHeight="1">
      <x:c r="A56" s="268" t="str">
        <x:v>55</x:v>
      </x:c>
      <x:c r="B56" s="269" t="str">
        <x:v>Feline panleukopenia VP2/VP2</x:v>
      </x:c>
      <x:c r="C56" s="269" t="str">
        <x:v>Feline panleukopenia VP2</x:v>
      </x:c>
      <x:c r="D56" s="269" t="str">
        <x:v>VP2</x:v>
      </x:c>
      <x:c r="E56" s="269" t="str">
        <x:v>FPV VP2, feline panleukopenia virus VP2, parvovirus VP2</x:v>
      </x:c>
      <x:c r="F56" s="269" t="str">
        <x:v>Feline panleukopenia virus</x:v>
      </x:c>
      <x:c r="G56" s="269" t="str">
        <x:v>Fab</x:v>
      </x:c>
      <x:c r="H56" s="269" t="str">
        <x:v>10</x:v>
      </x:c>
      <x:c r="I56" s="270" t="str">
        <x:v>1FPV</x:v>
      </x:c>
    </x:row>
    <x:row r="57" ht="42" customHeight="1">
      <x:c r="A57" s="268" t="str">
        <x:v>56</x:v>
      </x:c>
      <x:c r="B57" s="269" t="str">
        <x:v>Connexin-26/GJB2</x:v>
      </x:c>
      <x:c r="C57" s="269" t="str">
        <x:v>Connexin-26</x:v>
      </x:c>
      <x:c r="D57" s="269" t="str">
        <x:v>GJB2</x:v>
      </x:c>
      <x:c r="E57" s="269" t="str">
        <x:v>GJB2, CX26, connexin-26</x:v>
      </x:c>
      <x:c r="F57" s="269" t="str">
        <x:v>Homo sapiens</x:v>
      </x:c>
      <x:c r="G57" s="269" t="str">
        <x:v>Fab</x:v>
      </x:c>
      <x:c r="H57" s="269" t="str">
        <x:v>10</x:v>
      </x:c>
      <x:c r="I57" s="270" t="str">
        <x:v>2ZW3</x:v>
      </x:c>
    </x:row>
    <x:row r="58" ht="42" customHeight="1">
      <x:c r="A58" s="268" t="str">
        <x:v>57</x:v>
      </x:c>
      <x:c r="B58" s="269" t="str">
        <x:v>DLL3</x:v>
      </x:c>
      <x:c r="C58" s="269" t="str">
        <x:v>DLL3</x:v>
      </x:c>
      <x:c r="D58" s="269" t="str">
        <x:v>DLL3</x:v>
      </x:c>
      <x:c r="E58" s="269" t="str">
        <x:v>DLL3, Delta-like ligand 3</x:v>
      </x:c>
      <x:c r="F58" s="269" t="str">
        <x:v>Homo sapiens</x:v>
      </x:c>
      <x:c r="G58" s="269" t="str">
        <x:v>Fab</x:v>
      </x:c>
      <x:c r="H58" s="269" t="str">
        <x:v>5</x:v>
      </x:c>
      <x:c r="I58" s="270" t="str">
        <x:v>6H9Y</x:v>
      </x:c>
    </x:row>
    <x:row r="59" ht="42" customHeight="1">
      <x:c r="A59" s="268" t="str">
        <x:v>58</x:v>
      </x:c>
      <x:c r="B59" s="269" t="str">
        <x:v>FOLR1</x:v>
      </x:c>
      <x:c r="C59" s="269" t="str">
        <x:v>FOLR1</x:v>
      </x:c>
      <x:c r="D59" s="269" t="str">
        <x:v>FOLR1</x:v>
      </x:c>
      <x:c r="E59" s="269" t="str">
        <x:v>FOLR1, FOL-alpha, folate receptor alpha</x:v>
      </x:c>
      <x:c r="F59" s="269" t="str">
        <x:v>Homo sapiens</x:v>
      </x:c>
      <x:c r="G59" s="269" t="str">
        <x:v>Fab</x:v>
      </x:c>
      <x:c r="H59" s="269" t="str">
        <x:v>5</x:v>
      </x:c>
      <x:c r="I59" s="270" t="str">
        <x:v>4LRH</x:v>
      </x:c>
    </x:row>
    <x:row r="60" ht="42" customHeight="1">
      <x:c r="A60" s="268" t="str">
        <x:v>59</x:v>
      </x:c>
      <x:c r="B60" s="269" t="str">
        <x:v>ROR1</x:v>
      </x:c>
      <x:c r="C60" s="269" t="str">
        <x:v>ROR1</x:v>
      </x:c>
      <x:c r="D60" s="269" t="str">
        <x:v>ROR1</x:v>
      </x:c>
      <x:c r="E60" s="269" t="str">
        <x:v>ROR1, receptor tyrosine kinase-like orphan receptor 1</x:v>
      </x:c>
      <x:c r="F60" s="269" t="str">
        <x:v>Homo sapiens</x:v>
      </x:c>
      <x:c r="G60" s="269" t="str">
        <x:v>Fab</x:v>
      </x:c>
      <x:c r="H60" s="269" t="str">
        <x:v>5</x:v>
      </x:c>
      <x:c r="I60" s="270" t="str">
        <x:v>6A5F</x:v>
      </x:c>
    </x:row>
    <x:row r="61" ht="42" customHeight="1">
      <x:c r="A61" s="268" t="str">
        <x:v>60</x:v>
      </x:c>
      <x:c r="B61" s="269" t="str">
        <x:v>CD30/TNFRSF8</x:v>
      </x:c>
      <x:c r="C61" s="269" t="str">
        <x:v>CD30</x:v>
      </x:c>
      <x:c r="D61" s="269" t="str">
        <x:v>TNFRSF8</x:v>
      </x:c>
      <x:c r="E61" s="269" t="str">
        <x:v>TNFRSF8, CD30 antigen</x:v>
      </x:c>
      <x:c r="F61" s="269" t="str">
        <x:v>Homo sapiens</x:v>
      </x:c>
      <x:c r="G61" s="269" t="str">
        <x:v>VHH</x:v>
      </x:c>
      <x:c r="H61" s="269" t="str">
        <x:v>5</x:v>
      </x:c>
      <x:c r="I61" s="270" t="str">
        <x:v>5XBN</x:v>
      </x:c>
    </x:row>
    <x:row r="62" ht="42" customHeight="1">
      <x:c r="A62" s="268" t="str">
        <x:v>61</x:v>
      </x:c>
      <x:c r="B62" s="269" t="str">
        <x:v>FLT3</x:v>
      </x:c>
      <x:c r="C62" s="269" t="str">
        <x:v>FLT3</x:v>
      </x:c>
      <x:c r="D62" s="269" t="str">
        <x:v>FLT3</x:v>
      </x:c>
      <x:c r="E62" s="269" t="str">
        <x:v>FLT3, FLK2, CD135</x:v>
      </x:c>
      <x:c r="F62" s="269" t="str">
        <x:v>Homo sapiens</x:v>
      </x:c>
      <x:c r="G62" s="269" t="str">
        <x:v>Fab</x:v>
      </x:c>
      <x:c r="H62" s="269" t="str">
        <x:v>5</x:v>
      </x:c>
      <x:c r="I62" s="270" t="str">
        <x:v>1RJQ</x:v>
      </x:c>
    </x:row>
    <x:row r="63" ht="42" customHeight="1">
      <x:c r="A63" s="268" t="str">
        <x:v>62</x:v>
      </x:c>
      <x:c r="B63" s="269" t="str">
        <x:v>CD70</x:v>
      </x:c>
      <x:c r="C63" s="269" t="str">
        <x:v>CD70</x:v>
      </x:c>
      <x:c r="D63" s="269" t="str">
        <x:v>CD70</x:v>
      </x:c>
      <x:c r="E63" s="269" t="str">
        <x:v>CD70, CD27 ligand, TNFSF7</x:v>
      </x:c>
      <x:c r="F63" s="269" t="str">
        <x:v>Homo sapiens</x:v>
      </x:c>
      <x:c r="G63" s="269" t="str">
        <x:v>Fab</x:v>
      </x:c>
      <x:c r="H63" s="269" t="str">
        <x:v>5</x:v>
      </x:c>
      <x:c r="I63" s="270" t="str">
        <x:v>4F77</x:v>
      </x:c>
    </x:row>
    <x:row r="64" ht="42" customHeight="1">
      <x:c r="A64" s="268" t="str">
        <x:v>63</x:v>
      </x:c>
      <x:c r="B64" s="269" t="str">
        <x:v>PTK7</x:v>
      </x:c>
      <x:c r="C64" s="269" t="str">
        <x:v>PTK7</x:v>
      </x:c>
      <x:c r="D64" s="269" t="str">
        <x:v>PTK7</x:v>
      </x:c>
      <x:c r="E64" s="269" t="str">
        <x:v>PTK7, protein tyrosine kinase 7</x:v>
      </x:c>
      <x:c r="F64" s="269" t="str">
        <x:v>Homo sapiens</x:v>
      </x:c>
      <x:c r="G64" s="269" t="str">
        <x:v>Fab</x:v>
      </x:c>
      <x:c r="H64" s="269" t="str">
        <x:v>5</x:v>
      </x:c>
      <x:c r="I64" s="270" t="str">
        <x:v>6AY3</x:v>
      </x:c>
    </x:row>
    <x:row r="65" ht="42" customHeight="1">
      <x:c r="A65" s="268" t="str">
        <x:v>64</x:v>
      </x:c>
      <x:c r="B65" s="269" t="str">
        <x:v>PSMA/FOLH1</x:v>
      </x:c>
      <x:c r="C65" s="269" t="str">
        <x:v>PSMA</x:v>
      </x:c>
      <x:c r="D65" s="269" t="str">
        <x:v>FOLH1</x:v>
      </x:c>
      <x:c r="E65" s="269" t="str">
        <x:v>FOLH1, GCPII, glutamate carboxypeptidase II</x:v>
      </x:c>
      <x:c r="F65" s="269" t="str">
        <x:v>Homo sapiens</x:v>
      </x:c>
      <x:c r="G65" s="269" t="str">
        <x:v>Fab</x:v>
      </x:c>
      <x:c r="H65" s="269" t="str">
        <x:v>5</x:v>
      </x:c>
      <x:c r="I65" s="270" t="str">
        <x:v>2X6G</x:v>
      </x:c>
    </x:row>
    <x:row r="66" ht="42" customHeight="1">
      <x:c r="A66" s="268" t="str">
        <x:v>65</x:v>
      </x:c>
      <x:c r="B66" s="269" t="str">
        <x:v>CD74</x:v>
      </x:c>
      <x:c r="C66" s="269" t="str">
        <x:v>CD74</x:v>
      </x:c>
      <x:c r="D66" s="269" t="str">
        <x:v>CD74</x:v>
      </x:c>
      <x:c r="E66" s="269" t="str">
        <x:v>CD74, HLA class II histocompatibility antigen gamma chain</x:v>
      </x:c>
      <x:c r="F66" s="269" t="str">
        <x:v>Homo sapiens</x:v>
      </x:c>
      <x:c r="G66" s="269" t="str">
        <x:v>Fab</x:v>
      </x:c>
      <x:c r="H66" s="269" t="str">
        <x:v>5</x:v>
      </x:c>
      <x:c r="I66" s="270" t="str">
        <x:v>2WRH</x:v>
      </x:c>
    </x:row>
    <x:row r="67" ht="42" customHeight="1">
      <x:c r="A67" s="268" t="str">
        <x:v>66</x:v>
      </x:c>
      <x:c r="B67" s="269" t="str">
        <x:v>TIM-3/HAVCR2</x:v>
      </x:c>
      <x:c r="C67" s="269" t="str">
        <x:v>TIM-3</x:v>
      </x:c>
      <x:c r="D67" s="269" t="str">
        <x:v>HAVCR2</x:v>
      </x:c>
      <x:c r="E67" s="269" t="str">
        <x:v>HAVCR2, T-cell immunoglobulin and mucin domain-containing protein 3</x:v>
      </x:c>
      <x:c r="F67" s="269" t="str">
        <x:v>Homo sapiens</x:v>
      </x:c>
      <x:c r="G67" s="269" t="str">
        <x:v>Fab</x:v>
      </x:c>
      <x:c r="H67" s="269" t="str">
        <x:v>5</x:v>
      </x:c>
      <x:c r="I67" s="270" t="str">
        <x:v>5F71</x:v>
      </x:c>
    </x:row>
    <x:row r="68" ht="42" customHeight="1">
      <x:c r="A68" s="268" t="str">
        <x:v>67</x:v>
      </x:c>
      <x:c r="B68" s="269" t="str">
        <x:v>GITR/TNFRSF18</x:v>
      </x:c>
      <x:c r="C68" s="269" t="str">
        <x:v>GITR</x:v>
      </x:c>
      <x:c r="D68" s="269" t="str">
        <x:v>TNFRSF18</x:v>
      </x:c>
      <x:c r="E68" s="269" t="str">
        <x:v>TNFRSF18, CD357</x:v>
      </x:c>
      <x:c r="F68" s="269" t="str">
        <x:v>Homo sapiens</x:v>
      </x:c>
      <x:c r="G68" s="269" t="str">
        <x:v>Fab</x:v>
      </x:c>
      <x:c r="H68" s="269" t="str">
        <x:v>5</x:v>
      </x:c>
      <x:c r="I68" s="270" t="str">
        <x:v>5WHD</x:v>
      </x:c>
    </x:row>
    <x:row r="69" ht="42" customHeight="1">
      <x:c r="A69" s="268" t="str">
        <x:v>68</x:v>
      </x:c>
      <x:c r="B69" s="269" t="str">
        <x:v>OX40/TNFRSF4</x:v>
      </x:c>
      <x:c r="C69" s="269" t="str">
        <x:v>OX40</x:v>
      </x:c>
      <x:c r="D69" s="269" t="str">
        <x:v>TNFRSF4</x:v>
      </x:c>
      <x:c r="E69" s="269" t="str">
        <x:v>TNFRSF4, CD134</x:v>
      </x:c>
      <x:c r="F69" s="269" t="str">
        <x:v>Homo sapiens</x:v>
      </x:c>
      <x:c r="G69" s="269" t="str">
        <x:v>VHH</x:v>
      </x:c>
      <x:c r="H69" s="269" t="str">
        <x:v>5</x:v>
      </x:c>
      <x:c r="I69" s="270" t="str">
        <x:v>5I8J</x:v>
      </x:c>
    </x:row>
    <x:row r="70" ht="42" customHeight="1">
      <x:c r="A70" s="268" t="str">
        <x:v>69</x:v>
      </x:c>
      <x:c r="B70" s="269" t="str">
        <x:v>4-1BB/TNFRSF9</x:v>
      </x:c>
      <x:c r="C70" s="269" t="str">
        <x:v>4-1BB</x:v>
      </x:c>
      <x:c r="D70" s="269" t="str">
        <x:v>TNFRSF9</x:v>
      </x:c>
      <x:c r="E70" s="269" t="str">
        <x:v>TNFRSF9, CD137</x:v>
      </x:c>
      <x:c r="F70" s="269" t="str">
        <x:v>Homo sapiens</x:v>
      </x:c>
      <x:c r="G70" s="269" t="str">
        <x:v>Fab</x:v>
      </x:c>
      <x:c r="H70" s="269" t="str">
        <x:v>5</x:v>
      </x:c>
      <x:c r="I70" s="270" t="str">
        <x:v>4ZGP</x:v>
      </x:c>
    </x:row>
    <x:row r="71" ht="42" customHeight="1">
      <x:c r="A71" s="268" t="str">
        <x:v>70</x:v>
      </x:c>
      <x:c r="B71" s="269" t="str">
        <x:v>CD40/TNFRSF5</x:v>
      </x:c>
      <x:c r="C71" s="269" t="str">
        <x:v>CD40</x:v>
      </x:c>
      <x:c r="D71" s="269" t="str">
        <x:v>TNFRSF5</x:v>
      </x:c>
      <x:c r="E71" s="269" t="str">
        <x:v>TNFRSF5, CD40 antigen</x:v>
      </x:c>
      <x:c r="F71" s="269" t="str">
        <x:v>Homo sapiens</x:v>
      </x:c>
      <x:c r="G71" s="269" t="str">
        <x:v>Fab</x:v>
      </x:c>
      <x:c r="H71" s="269" t="str">
        <x:v>5</x:v>
      </x:c>
      <x:c r="I71" s="270" t="str">
        <x:v>5L01</x:v>
      </x:c>
    </x:row>
    <x:row r="72" ht="42" customHeight="1">
      <x:c r="A72" s="268" t="str">
        <x:v>71</x:v>
      </x:c>
      <x:c r="B72" s="269" t="str">
        <x:v>CD27/TNFRSF7</x:v>
      </x:c>
      <x:c r="C72" s="269" t="str">
        <x:v>CD27</x:v>
      </x:c>
      <x:c r="D72" s="269" t="str">
        <x:v>TNFRSF7</x:v>
      </x:c>
      <x:c r="E72" s="269" t="str">
        <x:v>TNFRSF7, T14</x:v>
      </x:c>
      <x:c r="F72" s="269" t="str">
        <x:v>Homo sapiens</x:v>
      </x:c>
      <x:c r="G72" s="269" t="str">
        <x:v>Fab</x:v>
      </x:c>
      <x:c r="H72" s="269" t="str">
        <x:v>5</x:v>
      </x:c>
      <x:c r="I72" s="270" t="str">
        <x:v>5NLE</x:v>
      </x:c>
    </x:row>
    <x:row r="73" ht="42" customHeight="1">
      <x:c r="A73" s="268" t="str">
        <x:v>72</x:v>
      </x:c>
      <x:c r="B73" s="269" t="str">
        <x:v>DR5/TNFRSF10B</x:v>
      </x:c>
      <x:c r="C73" s="269" t="str">
        <x:v>DR5</x:v>
      </x:c>
      <x:c r="D73" s="269" t="str">
        <x:v>TNFRSF10B</x:v>
      </x:c>
      <x:c r="E73" s="269" t="str">
        <x:v>TNFRSF10B, TRAIL receptor 2, CD262</x:v>
      </x:c>
      <x:c r="F73" s="269" t="str">
        <x:v>Homo sapiens</x:v>
      </x:c>
      <x:c r="G73" s="269" t="str">
        <x:v>VHH</x:v>
      </x:c>
      <x:c r="H73" s="269" t="str">
        <x:v>5</x:v>
      </x:c>
      <x:c r="I73" s="270" t="str">
        <x:v>5C85</x:v>
      </x:c>
    </x:row>
    <x:row r="74" ht="42" customHeight="1">
      <x:c r="A74" s="268" t="str">
        <x:v>73</x:v>
      </x:c>
      <x:c r="B74" s="269" t="str">
        <x:v>CLDN6</x:v>
      </x:c>
      <x:c r="C74" s="269" t="str">
        <x:v>CLDN6</x:v>
      </x:c>
      <x:c r="D74" s="269" t="str">
        <x:v>CLDN6</x:v>
      </x:c>
      <x:c r="E74" s="269" t="str">
        <x:v>CLDN6, Claudin-6</x:v>
      </x:c>
      <x:c r="F74" s="269" t="str">
        <x:v>Homo sapiens</x:v>
      </x:c>
      <x:c r="G74" s="269" t="str">
        <x:v>Fab</x:v>
      </x:c>
      <x:c r="H74" s="269" t="str">
        <x:v>5</x:v>
      </x:c>
      <x:c r="I74" s="270" t="str">
        <x:v>6XG7</x:v>
      </x:c>
    </x:row>
    <x:row r="75" ht="42" customHeight="1">
      <x:c r="A75" s="268" t="str">
        <x:v>74</x:v>
      </x:c>
      <x:c r="B75" s="269" t="str">
        <x:v>CDH6</x:v>
      </x:c>
      <x:c r="C75" s="269" t="str">
        <x:v>CDH6</x:v>
      </x:c>
      <x:c r="D75" s="269" t="str">
        <x:v>CDH6</x:v>
      </x:c>
      <x:c r="E75" s="269" t="str">
        <x:v>CDH6, K-cadherin</x:v>
      </x:c>
      <x:c r="F75" s="269" t="str">
        <x:v>Homo sapiens</x:v>
      </x:c>
      <x:c r="G75" s="269" t="str">
        <x:v>VHH</x:v>
      </x:c>
      <x:c r="H75" s="269" t="str">
        <x:v>5</x:v>
      </x:c>
      <x:c r="I75" s="270" t="str">
        <x:v>5C4H</x:v>
      </x:c>
    </x:row>
    <x:row r="76" ht="42" customHeight="1">
      <x:c r="A76" s="268" t="str">
        <x:v>75</x:v>
      </x:c>
      <x:c r="B76" s="269" t="str">
        <x:v>PRLR</x:v>
      </x:c>
      <x:c r="C76" s="269" t="str">
        <x:v>PRLR</x:v>
      </x:c>
      <x:c r="D76" s="269" t="str">
        <x:v>PRLR</x:v>
      </x:c>
      <x:c r="E76" s="269" t="str">
        <x:v>PRLR, prolactin receptor</x:v>
      </x:c>
      <x:c r="F76" s="269" t="str">
        <x:v>Homo sapiens</x:v>
      </x:c>
      <x:c r="G76" s="269" t="str">
        <x:v>Fab</x:v>
      </x:c>
      <x:c r="H76" s="269" t="str">
        <x:v>5</x:v>
      </x:c>
      <x:c r="I76" s="270" t="str">
        <x:v>3D48</x:v>
      </x:c>
    </x:row>
    <x:row r="77" ht="42" customHeight="1">
      <x:c r="A77" s="268" t="str">
        <x:v>76</x:v>
      </x:c>
      <x:c r="B77" s="269" t="str">
        <x:v>SSTR2</x:v>
      </x:c>
      <x:c r="C77" s="269" t="str">
        <x:v>SSTR2</x:v>
      </x:c>
      <x:c r="D77" s="269" t="str">
        <x:v>SSTR2</x:v>
      </x:c>
      <x:c r="E77" s="269" t="str">
        <x:v>SSTR2, somatostatin receptor 2</x:v>
      </x:c>
      <x:c r="F77" s="269" t="str">
        <x:v>Homo sapiens</x:v>
      </x:c>
      <x:c r="G77" s="269" t="str">
        <x:v>Fab</x:v>
      </x:c>
      <x:c r="H77" s="269" t="str">
        <x:v>5</x:v>
      </x:c>
      <x:c r="I77" s="270" t="str">
        <x:v>6WB4</x:v>
      </x:c>
    </x:row>
    <x:row r="78" ht="42" customHeight="1">
      <x:c r="A78" s="268" t="str">
        <x:v>77</x:v>
      </x:c>
      <x:c r="B78" s="269" t="str">
        <x:v>GUCY2C</x:v>
      </x:c>
      <x:c r="C78" s="269" t="str">
        <x:v>GUCY2C</x:v>
      </x:c>
      <x:c r="D78" s="269" t="str">
        <x:v>GUCY2C</x:v>
      </x:c>
      <x:c r="E78" s="269" t="str">
        <x:v>GUCY2C, GC-C, guanylate cyclase C</x:v>
      </x:c>
      <x:c r="F78" s="269" t="str">
        <x:v>Homo sapiens</x:v>
      </x:c>
      <x:c r="G78" s="269" t="str">
        <x:v>VHH</x:v>
      </x:c>
      <x:c r="H78" s="269" t="str">
        <x:v>5</x:v>
      </x:c>
      <x:c r="I78" s="270" t="str">
        <x:v>6B25</x:v>
      </x:c>
    </x:row>
    <x:row r="79" ht="42" customHeight="1">
      <x:c r="A79" s="268" t="str">
        <x:v>78</x:v>
      </x:c>
      <x:c r="B79" s="269" t="str">
        <x:v>IL-31/IL31</x:v>
      </x:c>
      <x:c r="C79" s="269" t="str">
        <x:v>IL-31</x:v>
      </x:c>
      <x:c r="D79" s="269" t="str">
        <x:v>IL31</x:v>
      </x:c>
      <x:c r="E79" s="269" t="str">
        <x:v>IL31, interleukin-31</x:v>
      </x:c>
      <x:c r="F79" s="269" t="str">
        <x:v>Homo sapiens</x:v>
      </x:c>
      <x:c r="G79" s="269" t="str">
        <x:v>Fab</x:v>
      </x:c>
      <x:c r="H79" s="269" t="str">
        <x:v>5</x:v>
      </x:c>
      <x:c r="I79" s="270" t="str">
        <x:v>5N0Y</x:v>
      </x:c>
    </x:row>
    <x:row r="80" ht="42" customHeight="1">
      <x:c r="A80" s="268" t="str">
        <x:v>79</x:v>
      </x:c>
      <x:c r="B80" s="269" t="str">
        <x:v>IL-17RA/IL17RA</x:v>
      </x:c>
      <x:c r="C80" s="269" t="str">
        <x:v>IL-17RA</x:v>
      </x:c>
      <x:c r="D80" s="269" t="str">
        <x:v>IL17RA</x:v>
      </x:c>
      <x:c r="E80" s="269" t="str">
        <x:v>IL17RA, IL-17 receptor A</x:v>
      </x:c>
      <x:c r="F80" s="269" t="str">
        <x:v>Homo sapiens</x:v>
      </x:c>
      <x:c r="G80" s="269" t="str">
        <x:v>Fab</x:v>
      </x:c>
      <x:c r="H80" s="269" t="str">
        <x:v>5</x:v>
      </x:c>
      <x:c r="I80" s="270" t="str">
        <x:v>6I1K</x:v>
      </x:c>
    </x:row>
    <x:row r="81" ht="42" customHeight="1">
      <x:c r="A81" s="268" t="str">
        <x:v>80</x:v>
      </x:c>
      <x:c r="B81" s="269" t="str">
        <x:v>GM-CSF/CSF2</x:v>
      </x:c>
      <x:c r="C81" s="269" t="str">
        <x:v>GM-CSF</x:v>
      </x:c>
      <x:c r="D81" s="269" t="str">
        <x:v>CSF2</x:v>
      </x:c>
      <x:c r="E81" s="269" t="str">
        <x:v>CSF2, granulocyte-macrophage colony-stimulating factor</x:v>
      </x:c>
      <x:c r="F81" s="269" t="str">
        <x:v>Homo sapiens</x:v>
      </x:c>
      <x:c r="G81" s="269" t="str">
        <x:v>VHH</x:v>
      </x:c>
      <x:c r="H81" s="269" t="str">
        <x:v>5</x:v>
      </x:c>
      <x:c r="I81" s="270" t="str">
        <x:v>4RSK</x:v>
      </x:c>
    </x:row>
    <x:row r="82" ht="42" customHeight="1">
      <x:c r="A82" s="268" t="str">
        <x:v>81</x:v>
      </x:c>
      <x:c r="B82" s="269" t="str">
        <x:v>IL-36α/IL36A</x:v>
      </x:c>
      <x:c r="C82" s="269" t="str">
        <x:v>IL-36α</x:v>
      </x:c>
      <x:c r="D82" s="269" t="str">
        <x:v>IL36A</x:v>
      </x:c>
      <x:c r="E82" s="269" t="str">
        <x:v>IL36A, IL-36 alpha</x:v>
      </x:c>
      <x:c r="F82" s="269" t="str">
        <x:v>Homo sapiens</x:v>
      </x:c>
      <x:c r="G82" s="269" t="str">
        <x:v>Fab</x:v>
      </x:c>
      <x:c r="H82" s="269" t="str">
        <x:v>5</x:v>
      </x:c>
      <x:c r="I82" s="270" t="str">
        <x:v>4I6B</x:v>
      </x:c>
    </x:row>
    <x:row r="83" ht="42" customHeight="1">
      <x:c r="A83" s="268" t="str">
        <x:v>82</x:v>
      </x:c>
      <x:c r="B83" s="269" t="str">
        <x:v>BAFF-R/TNFRSF13C</x:v>
      </x:c>
      <x:c r="C83" s="269" t="str">
        <x:v>BAFF-R</x:v>
      </x:c>
      <x:c r="D83" s="269" t="str">
        <x:v>TNFRSF13C</x:v>
      </x:c>
      <x:c r="E83" s="269" t="str">
        <x:v>TNFRSF13C, BAFF receptor, CD268</x:v>
      </x:c>
      <x:c r="F83" s="269" t="str">
        <x:v>Homo sapiens</x:v>
      </x:c>
      <x:c r="G83" s="269" t="str">
        <x:v>Fab</x:v>
      </x:c>
      <x:c r="H83" s="269" t="str">
        <x:v>5</x:v>
      </x:c>
      <x:c r="I83" s="270" t="str">
        <x:v>6E0M</x:v>
      </x:c>
    </x:row>
    <x:row r="84" ht="42" customHeight="1">
      <x:c r="A84" s="268" t="str">
        <x:v>83</x:v>
      </x:c>
      <x:c r="B84" s="269" t="str">
        <x:v>GLP-1R/GLP1R</x:v>
      </x:c>
      <x:c r="C84" s="269" t="str">
        <x:v>GLP-1R</x:v>
      </x:c>
      <x:c r="D84" s="269" t="str">
        <x:v>GLP1R</x:v>
      </x:c>
      <x:c r="E84" s="269" t="str">
        <x:v>GLP1R, GLP-1 receptor, glucagon-like peptide 1 receptor</x:v>
      </x:c>
      <x:c r="F84" s="269" t="str">
        <x:v>Homo sapiens</x:v>
      </x:c>
      <x:c r="G84" s="269" t="str">
        <x:v>Fab</x:v>
      </x:c>
      <x:c r="H84" s="269" t="str">
        <x:v>5</x:v>
      </x:c>
      <x:c r="I84" s="270" t="str">
        <x:v>5NX2</x:v>
      </x:c>
    </x:row>
    <x:row r="85" ht="42" customHeight="1">
      <x:c r="A85" s="268" t="str">
        <x:v>84</x:v>
      </x:c>
      <x:c r="B85" s="269" t="str">
        <x:v>FGF21</x:v>
      </x:c>
      <x:c r="C85" s="269" t="str">
        <x:v>FGF21</x:v>
      </x:c>
      <x:c r="D85" s="269" t="str">
        <x:v>FGF21</x:v>
      </x:c>
      <x:c r="E85" s="269" t="str">
        <x:v>FGF21, fibroblast growth factor 21</x:v>
      </x:c>
      <x:c r="F85" s="269" t="str">
        <x:v>Homo sapiens</x:v>
      </x:c>
      <x:c r="G85" s="269" t="str">
        <x:v>VHH</x:v>
      </x:c>
      <x:c r="H85" s="269" t="str">
        <x:v>5</x:v>
      </x:c>
      <x:c r="I85" s="270" t="str">
        <x:v>6M6E</x:v>
      </x:c>
    </x:row>
    <x:row r="86" ht="42" customHeight="1">
      <x:c r="A86" s="268" t="str">
        <x:v>85</x:v>
      </x:c>
      <x:c r="B86" s="269" t="str">
        <x:v>LGR5</x:v>
      </x:c>
      <x:c r="C86" s="269" t="str">
        <x:v>LGR5</x:v>
      </x:c>
      <x:c r="D86" s="269" t="str">
        <x:v>LGR5</x:v>
      </x:c>
      <x:c r="E86" s="269" t="str">
        <x:v>LGR5, GPR49, leucine-rich repeat-containing G protein-coupled receptor 5</x:v>
      </x:c>
      <x:c r="F86" s="269" t="str">
        <x:v>Homo sapiens</x:v>
      </x:c>
      <x:c r="G86" s="269" t="str">
        <x:v>Fab</x:v>
      </x:c>
      <x:c r="H86" s="269" t="str">
        <x:v>5</x:v>
      </x:c>
      <x:c r="I86" s="270" t="str">
        <x:v>4BSF</x:v>
      </x:c>
    </x:row>
    <x:row r="87" ht="42" customHeight="1">
      <x:c r="A87" s="268" t="str">
        <x:v>86</x:v>
      </x:c>
      <x:c r="B87" s="269" t="str">
        <x:v>BACE1</x:v>
      </x:c>
      <x:c r="C87" s="269" t="str">
        <x:v>BACE1</x:v>
      </x:c>
      <x:c r="D87" s="269" t="str">
        <x:v>BACE1</x:v>
      </x:c>
      <x:c r="E87" s="269" t="str">
        <x:v>BACE1, beta-site APP cleaving enzyme 1</x:v>
      </x:c>
      <x:c r="F87" s="269" t="str">
        <x:v>Homo sapiens</x:v>
      </x:c>
      <x:c r="G87" s="269" t="str">
        <x:v>Fab</x:v>
      </x:c>
      <x:c r="H87" s="269" t="str">
        <x:v>5</x:v>
      </x:c>
      <x:c r="I87" s="270" t="str">
        <x:v>1FKN</x:v>
      </x:c>
    </x:row>
    <x:row r="88" ht="42" customHeight="1">
      <x:c r="A88" s="268" t="str">
        <x:v>87</x:v>
      </x:c>
      <x:c r="B88" s="269" t="str">
        <x:v>Leptin receptor/LEPR</x:v>
      </x:c>
      <x:c r="C88" s="269" t="str">
        <x:v>Leptin receptor</x:v>
      </x:c>
      <x:c r="D88" s="269" t="str">
        <x:v>LEPR</x:v>
      </x:c>
      <x:c r="E88" s="269" t="str">
        <x:v>LEPR, LEP-R, obesity receptor</x:v>
      </x:c>
      <x:c r="F88" s="269" t="str">
        <x:v>Homo sapiens</x:v>
      </x:c>
      <x:c r="G88" s="269" t="str">
        <x:v>Fab</x:v>
      </x:c>
      <x:c r="H88" s="269" t="str">
        <x:v>5</x:v>
      </x:c>
      <x:c r="I88" s="270" t="str">
        <x:v>6V76</x:v>
      </x:c>
    </x:row>
    <x:row r="89" ht="42" customHeight="1">
      <x:c r="A89" s="268" t="str">
        <x:v>88</x:v>
      </x:c>
      <x:c r="B89" s="269" t="str">
        <x:v>Dengue E/DENV-E</x:v>
      </x:c>
      <x:c r="C89" s="269" t="str">
        <x:v>Dengue E</x:v>
      </x:c>
      <x:c r="D89" s="269" t="str">
        <x:v>DENV-E</x:v>
      </x:c>
      <x:c r="E89" s="269" t="str">
        <x:v>dengue virus envelope protein, DENV E</x:v>
      </x:c>
      <x:c r="F89" s="269" t="str">
        <x:v>Dengue virus</x:v>
      </x:c>
      <x:c r="G89" s="269" t="str">
        <x:v>Fab</x:v>
      </x:c>
      <x:c r="H89" s="269" t="str">
        <x:v>5</x:v>
      </x:c>
      <x:c r="I89" s="270" t="str">
        <x:v>1OAN</x:v>
      </x:c>
    </x:row>
    <x:row r="90" ht="42" customHeight="1">
      <x:c r="A90" s="268" t="str">
        <x:v>89</x:v>
      </x:c>
      <x:c r="B90" s="269" t="str">
        <x:v>Zika NS1/ZIKV-NS1</x:v>
      </x:c>
      <x:c r="C90" s="269" t="str">
        <x:v>Zika NS1</x:v>
      </x:c>
      <x:c r="D90" s="269" t="str">
        <x:v>ZIKV-NS1</x:v>
      </x:c>
      <x:c r="E90" s="269" t="str">
        <x:v>Zika virus non-structural protein 1, ZIKV NS1</x:v>
      </x:c>
      <x:c r="F90" s="269" t="str">
        <x:v>Zika virus</x:v>
      </x:c>
      <x:c r="G90" s="269" t="str">
        <x:v>Fab</x:v>
      </x:c>
      <x:c r="H90" s="269" t="str">
        <x:v>5</x:v>
      </x:c>
      <x:c r="I90" s="270" t="str">
        <x:v>5GS6</x:v>
      </x:c>
    </x:row>
    <x:row r="91" ht="42" customHeight="1">
      <x:c r="A91" s="268" t="str">
        <x:v>90</x:v>
      </x:c>
      <x:c r="B91" s="269" t="str">
        <x:v>Rabies G/RABV-G</x:v>
      </x:c>
      <x:c r="C91" s="269" t="str">
        <x:v>Rabies G</x:v>
      </x:c>
      <x:c r="D91" s="269" t="str">
        <x:v>RABV-G</x:v>
      </x:c>
      <x:c r="E91" s="269" t="str">
        <x:v>rabies virus glycoprotein, RABV G</x:v>
      </x:c>
      <x:c r="F91" s="269" t="str">
        <x:v>Rabies virus</x:v>
      </x:c>
      <x:c r="G91" s="269" t="str">
        <x:v>Fab</x:v>
      </x:c>
      <x:c r="H91" s="269" t="str">
        <x:v>5</x:v>
      </x:c>
      <x:c r="I91" s="270" t="str">
        <x:v>6W8J</x:v>
      </x:c>
    </x:row>
    <x:row r="92" ht="42" customHeight="1">
      <x:c r="A92" s="268" t="str">
        <x:v>91</x:v>
      </x:c>
      <x:c r="B92" s="269" t="str">
        <x:v>CMV gB/HCMV-UL55</x:v>
      </x:c>
      <x:c r="C92" s="269" t="str">
        <x:v>CMV gB</x:v>
      </x:c>
      <x:c r="D92" s="269" t="str">
        <x:v>HCMV-UL55</x:v>
      </x:c>
      <x:c r="E92" s="269" t="str">
        <x:v>cytomegalovirus glycoprotein B, HCMV gB</x:v>
      </x:c>
      <x:c r="F92" s="269" t="str">
        <x:v>Human cytomegalovirus</x:v>
      </x:c>
      <x:c r="G92" s="269" t="str">
        <x:v>Fab</x:v>
      </x:c>
      <x:c r="H92" s="269" t="str">
        <x:v>5</x:v>
      </x:c>
      <x:c r="I92" s="270" t="str">
        <x:v>5ZB3</x:v>
      </x:c>
    </x:row>
    <x:row r="93" ht="42" customHeight="1">
      <x:c r="A93" s="268" t="str">
        <x:v>92</x:v>
      </x:c>
      <x:c r="B93" s="269" t="str">
        <x:v>CD22/Siglec-2</x:v>
      </x:c>
      <x:c r="C93" s="269" t="str">
        <x:v>CD22</x:v>
      </x:c>
      <x:c r="D93" s="269" t="str">
        <x:v>CD22</x:v>
      </x:c>
      <x:c r="E93" s="269" t="str">
        <x:v>SIGLEC2, B-cell receptor CD22, Leu-14</x:v>
      </x:c>
      <x:c r="F93" s="269" t="str">
        <x:v>Homo sapiens</x:v>
      </x:c>
      <x:c r="G93" s="269" t="str">
        <x:v>Fab</x:v>
      </x:c>
      <x:c r="H93" s="269" t="str">
        <x:v>1</x:v>
      </x:c>
      <x:c r="I93" s="270" t="str">
        <x:v>5VL3</x:v>
      </x:c>
    </x:row>
    <x:row r="94" ht="42" customHeight="1">
      <x:c r="A94" s="268" t="str">
        <x:v>93</x:v>
      </x:c>
      <x:c r="B94" s="269" t="str">
        <x:v>Mesothelin/MSLN</x:v>
      </x:c>
      <x:c r="C94" s="269" t="str">
        <x:v>Mesothelin</x:v>
      </x:c>
      <x:c r="D94" s="269" t="str">
        <x:v>MSLN</x:v>
      </x:c>
      <x:c r="E94" s="269" t="str">
        <x:v>MSLN, CAK1, SMRP</x:v>
      </x:c>
      <x:c r="F94" s="269" t="str">
        <x:v>Homo sapiens</x:v>
      </x:c>
      <x:c r="G94" s="269" t="str">
        <x:v>Fab</x:v>
      </x:c>
      <x:c r="H94" s="269" t="str">
        <x:v>1</x:v>
      </x:c>
      <x:c r="I94" s="270" t="str">
        <x:v>7UED</x:v>
      </x:c>
    </x:row>
    <x:row r="95" ht="42" customHeight="1">
      <x:c r="A95" s="268" t="str">
        <x:v>94</x:v>
      </x:c>
      <x:c r="B95" s="269" t="str">
        <x:v>Claudin 18.2/CLDN18</x:v>
      </x:c>
      <x:c r="C95" s="269" t="str">
        <x:v>Claudin 18.2</x:v>
      </x:c>
      <x:c r="D95" s="269" t="str">
        <x:v>CLDN18</x:v>
      </x:c>
      <x:c r="E95" s="269" t="str">
        <x:v>CLDN18.2, Claudin-18.2, Claudin 18.2</x:v>
      </x:c>
      <x:c r="F95" s="269" t="str">
        <x:v>Homo sapiens</x:v>
      </x:c>
      <x:c r="G95" s="269" t="str">
        <x:v>Fab</x:v>
      </x:c>
      <x:c r="H95" s="269" t="str">
        <x:v>1</x:v>
      </x:c>
      <x:c r="I95" s="270" t="str">
        <x:v>9V32</x:v>
      </x:c>
    </x:row>
    <x:row r="96" ht="42" customHeight="1">
      <x:c r="A96" s="268" t="str">
        <x:v>95</x:v>
      </x:c>
      <x:c r="B96" s="269" t="str">
        <x:v>MET/c-MET</x:v>
      </x:c>
      <x:c r="C96" s="269" t="str">
        <x:v>MET</x:v>
      </x:c>
      <x:c r="D96" s="269" t="str">
        <x:v>MET</x:v>
      </x:c>
      <x:c r="E96" s="269" t="str">
        <x:v>c-MET, MET receptor, HGF receptor, Hepatocyte growth factor receptor</x:v>
      </x:c>
      <x:c r="F96" s="269" t="str">
        <x:v>Homo sapiens</x:v>
      </x:c>
      <x:c r="G96" s="269" t="str">
        <x:v>Fab</x:v>
      </x:c>
      <x:c r="H96" s="269" t="str">
        <x:v>1</x:v>
      </x:c>
      <x:c r="I96" s="270" t="str">
        <x:v>6I04</x:v>
      </x:c>
    </x:row>
    <x:row r="97" ht="42" customHeight="1">
      <x:c r="A97" s="268" t="str">
        <x:v>96</x:v>
      </x:c>
      <x:c r="B97" s="269" t="str">
        <x:v>HER3/ERBB3</x:v>
      </x:c>
      <x:c r="C97" s="269" t="str">
        <x:v>HER3</x:v>
      </x:c>
      <x:c r="D97" s="269" t="str">
        <x:v>ERBB3</x:v>
      </x:c>
      <x:c r="E97" s="269" t="str">
        <x:v>ERBB3, ErbB3, Receptor tyrosine-protein kinase erbB-3</x:v>
      </x:c>
      <x:c r="F97" s="269" t="str">
        <x:v>Homo sapiens</x:v>
      </x:c>
      <x:c r="G97" s="269" t="str">
        <x:v>Fab</x:v>
      </x:c>
      <x:c r="H97" s="269" t="str">
        <x:v>1</x:v>
      </x:c>
      <x:c r="I97" s="270" t="str">
        <x:v>7D85</x:v>
      </x:c>
    </x:row>
    <x:row r="98" ht="42" customHeight="1">
      <x:c r="A98" s="268" t="str">
        <x:v>97</x:v>
      </x:c>
      <x:c r="B98" s="269" t="str">
        <x:v>B7-H3/CD276</x:v>
      </x:c>
      <x:c r="C98" s="269" t="str">
        <x:v>B7-H3</x:v>
      </x:c>
      <x:c r="D98" s="269" t="str">
        <x:v>CD276</x:v>
      </x:c>
      <x:c r="E98" s="269" t="str">
        <x:v>CD276, B7H3, B7-H3/CD276</x:v>
      </x:c>
      <x:c r="F98" s="269" t="str">
        <x:v>Homo sapiens</x:v>
      </x:c>
      <x:c r="G98" s="269" t="str">
        <x:v>Fab</x:v>
      </x:c>
      <x:c r="H98" s="269" t="str">
        <x:v>1</x:v>
      </x:c>
      <x:c r="I98" s="270" t="str">
        <x:v>9LY5</x:v>
      </x:c>
    </x:row>
    <x:row r="99" ht="42" customHeight="1">
      <x:c r="A99" s="268" t="str">
        <x:v>98</x:v>
      </x:c>
      <x:c r="B99" s="269" t="str">
        <x:v>B7-H6/NCR3LG1</x:v>
      </x:c>
      <x:c r="C99" s="269" t="str">
        <x:v>B7-H6</x:v>
      </x:c>
      <x:c r="D99" s="269" t="str">
        <x:v>NCR3LG1</x:v>
      </x:c>
      <x:c r="E99" s="269" t="str">
        <x:v>NCR3LG1, B7H6, Natural cytotoxicity triggering receptor 3 ligand 1</x:v>
      </x:c>
      <x:c r="F99" s="269" t="str">
        <x:v>Homo sapiens</x:v>
      </x:c>
      <x:c r="G99" s="269" t="str">
        <x:v>Fab</x:v>
      </x:c>
      <x:c r="H99" s="269" t="str">
        <x:v>1</x:v>
      </x:c>
      <x:c r="I99" s="270" t="str">
        <x:v>4ZSO</x:v>
      </x:c>
    </x:row>
    <x:row r="100" ht="42" customHeight="1">
      <x:c r="A100" s="268" t="str">
        <x:v>99</x:v>
      </x:c>
      <x:c r="B100" s="269" t="str">
        <x:v>MUC1</x:v>
      </x:c>
      <x:c r="C100" s="269" t="str">
        <x:v>MUC1</x:v>
      </x:c>
      <x:c r="D100" s="269" t="str">
        <x:v>MUC1</x:v>
      </x:c>
      <x:c r="E100" s="269" t="str">
        <x:v>Mucin-1, CD227</x:v>
      </x:c>
      <x:c r="F100" s="269" t="str">
        <x:v>Homo sapiens</x:v>
      </x:c>
      <x:c r="G100" s="269" t="str">
        <x:v>Fab</x:v>
      </x:c>
      <x:c r="H100" s="269" t="str">
        <x:v>1</x:v>
      </x:c>
      <x:c r="I100" s="270" t="str">
        <x:v>7V7K</x:v>
      </x:c>
    </x:row>
    <x:row r="101" ht="42" customHeight="1">
      <x:c r="A101" s="268" t="str">
        <x:v>100</x:v>
      </x:c>
      <x:c r="B101" s="269" t="str">
        <x:v>Nectin-4/NECTIN4</x:v>
      </x:c>
      <x:c r="C101" s="269" t="str">
        <x:v>Nectin-4</x:v>
      </x:c>
      <x:c r="D101" s="269" t="str">
        <x:v>NECTIN4</x:v>
      </x:c>
      <x:c r="E101" s="269" t="str">
        <x:v>NECTIN4, PVRL4, Nectin4</x:v>
      </x:c>
      <x:c r="F101" s="269" t="str">
        <x:v>Homo sapiens</x:v>
      </x:c>
      <x:c r="G101" s="269" t="str">
        <x:v>Fab</x:v>
      </x:c>
      <x:c r="H101" s="269" t="str">
        <x:v>1</x:v>
      </x:c>
      <x:c r="I101" s="270" t="str">
        <x:v>9KKJ</x:v>
      </x:c>
    </x:row>
    <x:row r="102" ht="42" customHeight="1">
      <x:c r="A102" s="268" t="str">
        <x:v>101</x:v>
      </x:c>
      <x:c r="B102" s="269" t="str">
        <x:v>FGFR2/KGFR</x:v>
      </x:c>
      <x:c r="C102" s="269" t="str">
        <x:v>FGFR2</x:v>
      </x:c>
      <x:c r="D102" s="269" t="str">
        <x:v>FGFR2</x:v>
      </x:c>
      <x:c r="E102" s="269" t="str">
        <x:v>Fibroblast growth factor receptor 2, FGFR2b, KGFR, K-SAM</x:v>
      </x:c>
      <x:c r="F102" s="269" t="str">
        <x:v>Homo sapiens</x:v>
      </x:c>
      <x:c r="G102" s="269" t="str">
        <x:v>Fab</x:v>
      </x:c>
      <x:c r="H102" s="269" t="str">
        <x:v>1</x:v>
      </x:c>
      <x:c r="I102" s="270" t="str">
        <x:v>4WV1</x:v>
      </x:c>
    </x:row>
    <x:row r="103" ht="42" customHeight="1">
      <x:c r="A103" s="268" t="str">
        <x:v>102</x:v>
      </x:c>
      <x:c r="B103" s="269" t="str">
        <x:v>FGFR3</x:v>
      </x:c>
      <x:c r="C103" s="269" t="str">
        <x:v>FGFR3</x:v>
      </x:c>
      <x:c r="D103" s="269" t="str">
        <x:v>FGFR3</x:v>
      </x:c>
      <x:c r="E103" s="269" t="str">
        <x:v>Fibroblast growth factor receptor 3, JTK4</x:v>
      </x:c>
      <x:c r="F103" s="269" t="str">
        <x:v>Homo sapiens</x:v>
      </x:c>
      <x:c r="G103" s="269" t="str">
        <x:v>Fab</x:v>
      </x:c>
      <x:c r="H103" s="269" t="str">
        <x:v>1</x:v>
      </x:c>
      <x:c r="I103" s="270" t="str">
        <x:v>3GRW</x:v>
      </x:c>
    </x:row>
    <x:row r="104" ht="42" customHeight="1">
      <x:c r="A104" s="268" t="str">
        <x:v>103</x:v>
      </x:c>
      <x:c r="B104" s="269" t="str">
        <x:v>GPRC5D</x:v>
      </x:c>
      <x:c r="C104" s="269" t="str">
        <x:v>GPRC5D</x:v>
      </x:c>
      <x:c r="D104" s="269" t="str">
        <x:v>GPRC5D</x:v>
      </x:c>
      <x:c r="E104" s="269" t="str">
        <x:v>GPCR family C group 5 member D</x:v>
      </x:c>
      <x:c r="F104" s="269" t="str">
        <x:v>Homo sapiens</x:v>
      </x:c>
      <x:c r="G104" s="269" t="str">
        <x:v>Fab</x:v>
      </x:c>
      <x:c r="H104" s="269" t="str">
        <x:v>1</x:v>
      </x:c>
      <x:c r="I104" s="270" t="str">
        <x:v>9IMA</x:v>
      </x:c>
    </x:row>
    <x:row r="105" ht="42" customHeight="1">
      <x:c r="A105" s="268" t="str">
        <x:v>104</x:v>
      </x:c>
      <x:c r="B105" s="269" t="str">
        <x:v>CEACAM5/CEA</x:v>
      </x:c>
      <x:c r="C105" s="269" t="str">
        <x:v>CEACAM5</x:v>
      </x:c>
      <x:c r="D105" s="269" t="str">
        <x:v>CEACAM5</x:v>
      </x:c>
      <x:c r="E105" s="269" t="str">
        <x:v>CEA, Carcinoembryonic antigen, CD66e</x:v>
      </x:c>
      <x:c r="F105" s="269" t="str">
        <x:v>Homo sapiens</x:v>
      </x:c>
      <x:c r="G105" s="269" t="str">
        <x:v>Fab</x:v>
      </x:c>
      <x:c r="H105" s="269" t="str">
        <x:v>1</x:v>
      </x:c>
      <x:c r="I105" s="270" t="str">
        <x:v>8BW0</x:v>
      </x:c>
    </x:row>
    <x:row r="106" ht="42" customHeight="1">
      <x:c r="A106" s="268" t="str">
        <x:v>105</x:v>
      </x:c>
      <x:c r="B106" s="269" t="str">
        <x:v>STEAP1</x:v>
      </x:c>
      <x:c r="C106" s="269" t="str">
        <x:v>STEAP1</x:v>
      </x:c>
      <x:c r="D106" s="269" t="str">
        <x:v>STEAP1</x:v>
      </x:c>
      <x:c r="E106" s="269" t="str">
        <x:v>STEAP-1, Six-transmembrane epithelial antigen of the prostate 1</x:v>
      </x:c>
      <x:c r="F106" s="269" t="str">
        <x:v>Homo sapiens</x:v>
      </x:c>
      <x:c r="G106" s="269" t="str">
        <x:v>Fab</x:v>
      </x:c>
      <x:c r="H106" s="269" t="str">
        <x:v>1</x:v>
      </x:c>
      <x:c r="I106" s="270" t="str">
        <x:v>6Y9B</x:v>
      </x:c>
    </x:row>
    <x:row r="107" ht="42" customHeight="1">
      <x:c r="A107" s="268" t="str">
        <x:v>106</x:v>
      </x:c>
      <x:c r="B107" s="269" t="str">
        <x:v>CAIX/CA9</x:v>
      </x:c>
      <x:c r="C107" s="269" t="str">
        <x:v>CAIX</x:v>
      </x:c>
      <x:c r="D107" s="269" t="str">
        <x:v>CA9</x:v>
      </x:c>
      <x:c r="E107" s="269" t="str">
        <x:v>CA9, Carbonic anhydrase IX, Carbonic anhydrase 9, G250, MN</x:v>
      </x:c>
      <x:c r="F107" s="269" t="str">
        <x:v>Homo sapiens</x:v>
      </x:c>
      <x:c r="G107" s="269" t="str">
        <x:v>Fab</x:v>
      </x:c>
      <x:c r="H107" s="269" t="str">
        <x:v>1</x:v>
      </x:c>
      <x:c r="I107" s="270" t="str">
        <x:v>2HKF</x:v>
      </x:c>
    </x:row>
    <x:row r="108" ht="42" customHeight="1">
      <x:c r="A108" s="268" t="str">
        <x:v>107</x:v>
      </x:c>
      <x:c r="B108" s="269" t="str">
        <x:v>IL-5/IL5</x:v>
      </x:c>
      <x:c r="C108" s="269" t="str">
        <x:v>IL-5</x:v>
      </x:c>
      <x:c r="D108" s="269" t="str">
        <x:v>IL5</x:v>
      </x:c>
      <x:c r="E108" s="269" t="str">
        <x:v>IL5, Interleukin-5</x:v>
      </x:c>
      <x:c r="F108" s="269" t="str">
        <x:v>Homo sapiens</x:v>
      </x:c>
      <x:c r="G108" s="269" t="str">
        <x:v>Fab</x:v>
      </x:c>
      <x:c r="H108" s="269" t="str">
        <x:v>1</x:v>
      </x:c>
      <x:c r="I108" s="270" t="str">
        <x:v>9GVN</x:v>
      </x:c>
    </x:row>
    <x:row r="109" ht="42" customHeight="1">
      <x:c r="A109" s="268" t="str">
        <x:v>108</x:v>
      </x:c>
      <x:c r="B109" s="269" t="str">
        <x:v>IL-13/IL13</x:v>
      </x:c>
      <x:c r="C109" s="269" t="str">
        <x:v>IL-13</x:v>
      </x:c>
      <x:c r="D109" s="269" t="str">
        <x:v>IL13</x:v>
      </x:c>
      <x:c r="E109" s="269" t="str">
        <x:v>IL13, Interleukin-13</x:v>
      </x:c>
      <x:c r="F109" s="269" t="str">
        <x:v>Homo sapiens</x:v>
      </x:c>
      <x:c r="G109" s="269" t="str">
        <x:v>Fab</x:v>
      </x:c>
      <x:c r="H109" s="269" t="str">
        <x:v>1</x:v>
      </x:c>
      <x:c r="I109" s="270" t="str">
        <x:v>5L6Y</x:v>
      </x:c>
    </x:row>
    <x:row r="110" ht="42" customHeight="1">
      <x:c r="A110" s="268" t="str">
        <x:v>109</x:v>
      </x:c>
      <x:c r="B110" s="269" t="str">
        <x:v>CD123/IL3RA</x:v>
      </x:c>
      <x:c r="C110" s="269" t="str">
        <x:v>CD123</x:v>
      </x:c>
      <x:c r="D110" s="269" t="str">
        <x:v>IL3RA</x:v>
      </x:c>
      <x:c r="E110" s="269" t="str">
        <x:v>IL3RA, Interleukin-3 receptor alpha, IL-3R alpha</x:v>
      </x:c>
      <x:c r="F110" s="269" t="str">
        <x:v>Homo sapiens</x:v>
      </x:c>
      <x:c r="G110" s="269" t="str">
        <x:v>Fab</x:v>
      </x:c>
      <x:c r="H110" s="269" t="str">
        <x:v>1</x:v>
      </x:c>
      <x:c r="I110" s="270" t="str">
        <x:v>4JZJ</x:v>
      </x:c>
    </x:row>
    <x:row r="111" ht="42" customHeight="1">
      <x:c r="A111" s="268" t="str">
        <x:v>110</x:v>
      </x:c>
      <x:c r="B111" s="269" t="str">
        <x:v>BAFF/TNFSF13B</x:v>
      </x:c>
      <x:c r="C111" s="269" t="str">
        <x:v>BAFF</x:v>
      </x:c>
      <x:c r="D111" s="269" t="str">
        <x:v>TNFSF13B</x:v>
      </x:c>
      <x:c r="E111" s="269" t="str">
        <x:v>BLyS, B-cell activating factor, TNFSF13B, TALL-1</x:v>
      </x:c>
      <x:c r="F111" s="269" t="str">
        <x:v>Homo sapiens</x:v>
      </x:c>
      <x:c r="G111" s="269" t="str">
        <x:v>Fab</x:v>
      </x:c>
      <x:c r="H111" s="269" t="str">
        <x:v>1</x:v>
      </x:c>
      <x:c r="I111" s="270" t="str">
        <x:v>6FXN</x:v>
      </x:c>
    </x:row>
    <x:row r="112" ht="42" customHeight="1">
      <x:c r="A112" s="268" t="str">
        <x:v>111</x:v>
      </x:c>
      <x:c r="B112" s="269" t="str">
        <x:v>FcRn/FCGRT</x:v>
      </x:c>
      <x:c r="C112" s="269" t="str">
        <x:v>FcRn</x:v>
      </x:c>
      <x:c r="D112" s="269" t="str">
        <x:v>FCGRT</x:v>
      </x:c>
      <x:c r="E112" s="269" t="str">
        <x:v>FCRN, Neonatal Fc receptor, FCGRT</x:v>
      </x:c>
      <x:c r="F112" s="269" t="str">
        <x:v>Homo sapiens</x:v>
      </x:c>
      <x:c r="G112" s="269" t="str">
        <x:v>Fab</x:v>
      </x:c>
      <x:c r="H112" s="269" t="str">
        <x:v>1</x:v>
      </x:c>
      <x:c r="I112" s="270" t="str">
        <x:v>9MI6</x:v>
      </x:c>
    </x:row>
    <x:row r="113" ht="42" customHeight="1">
      <x:c r="A113" s="268" t="str">
        <x:v>112</x:v>
      </x:c>
      <x:c r="B113" s="269" t="str">
        <x:v>NGF</x:v>
      </x:c>
      <x:c r="C113" s="269" t="str">
        <x:v>NGF</x:v>
      </x:c>
      <x:c r="D113" s="269" t="str">
        <x:v>NGF</x:v>
      </x:c>
      <x:c r="E113" s="269" t="str">
        <x:v>Beta-NGF, Nerve growth factor</x:v>
      </x:c>
      <x:c r="F113" s="269" t="str">
        <x:v>Homo sapiens</x:v>
      </x:c>
      <x:c r="G113" s="269" t="str">
        <x:v>Fab</x:v>
      </x:c>
      <x:c r="H113" s="269" t="str">
        <x:v>1</x:v>
      </x:c>
      <x:c r="I113" s="270" t="str">
        <x:v>4EDW</x:v>
      </x:c>
    </x:row>
    <x:row r="114" ht="42" customHeight="1">
      <x:c r="A114" s="268" t="str">
        <x:v>113</x:v>
      </x:c>
      <x:c r="B114" s="269" t="str">
        <x:v>CD33/Siglec-3</x:v>
      </x:c>
      <x:c r="C114" s="269" t="str">
        <x:v>CD33</x:v>
      </x:c>
      <x:c r="D114" s="269" t="str">
        <x:v>CD33</x:v>
      </x:c>
      <x:c r="E114" s="269" t="str">
        <x:v>SIGLEC3, Siglec-3, Myeloid cell surface antigen CD33</x:v>
      </x:c>
      <x:c r="F114" s="269" t="str">
        <x:v>Homo sapiens</x:v>
      </x:c>
      <x:c r="G114" s="269" t="str">
        <x:v>Fab</x:v>
      </x:c>
      <x:c r="H114" s="269" t="str">
        <x:v>1</x:v>
      </x:c>
      <x:c r="I114" s="270" t="str">
        <x:v>9VL2</x:v>
      </x:c>
    </x:row>
    <x:row r="115" ht="42" customHeight="1">
      <x:c r="A115" s="268" t="str">
        <x:v>114</x:v>
      </x:c>
      <x:c r="B115" s="269" t="str">
        <x:v>GPC2/Glypican-2</x:v>
      </x:c>
      <x:c r="C115" s="269" t="str">
        <x:v>GPC2</x:v>
      </x:c>
      <x:c r="D115" s="269" t="str">
        <x:v>GPC2</x:v>
      </x:c>
      <x:c r="E115" s="269" t="str">
        <x:v>Glypican-2, GPC-2, Cerebroglycan</x:v>
      </x:c>
      <x:c r="F115" s="269" t="str">
        <x:v>Homo sapiens</x:v>
      </x:c>
      <x:c r="G115" s="269" t="str">
        <x:v>Fab</x:v>
      </x:c>
      <x:c r="H115" s="269" t="str">
        <x:v>1</x:v>
      </x:c>
      <x:c r="I115" s="270" t="str">
        <x:v>6WJL</x:v>
      </x:c>
    </x:row>
    <x:row r="116" ht="42" customHeight="1">
      <x:c r="A116" s="268" t="str">
        <x:v>115</x:v>
      </x:c>
      <x:c r="B116" s="269" t="str">
        <x:v>Integrin α4β7/ITGA4-ITGB7</x:v>
      </x:c>
      <x:c r="C116" s="269" t="str">
        <x:v>Integrin α4β7</x:v>
      </x:c>
      <x:c r="D116" s="269" t="str">
        <x:v>ITGA4 / ITGB7</x:v>
      </x:c>
      <x:c r="E116" s="269" t="str">
        <x:v>Integrin alpha4beta7, alpha4beta7, A4B7, α4β7, ITGA4/ITGB7</x:v>
      </x:c>
      <x:c r="F116" s="269" t="str">
        <x:v>Homo sapiens</x:v>
      </x:c>
      <x:c r="G116" s="269" t="str">
        <x:v>Fab</x:v>
      </x:c>
      <x:c r="H116" s="269" t="str">
        <x:v>1</x:v>
      </x:c>
      <x:c r="I116" s="270" t="str">
        <x:v>3V4P</x:v>
      </x:c>
    </x:row>
    <x:row r="117" ht="42" customHeight="1">
      <x:c r="A117" s="268" t="str">
        <x:v>116</x:v>
      </x:c>
      <x:c r="B117" s="269" t="str">
        <x:v>IL-6/IL6</x:v>
      </x:c>
      <x:c r="C117" s="269" t="str">
        <x:v>IL-6</x:v>
      </x:c>
      <x:c r="D117" s="269" t="str">
        <x:v>IL6</x:v>
      </x:c>
      <x:c r="E117" s="269" t="str">
        <x:v>IL6, Interleukin-6</x:v>
      </x:c>
      <x:c r="F117" s="269" t="str">
        <x:v>Homo sapiens</x:v>
      </x:c>
      <x:c r="G117" s="269" t="str">
        <x:v>Fab</x:v>
      </x:c>
      <x:c r="H117" s="269" t="str">
        <x:v>1</x:v>
      </x:c>
      <x:c r="I117" s="270" t="str">
        <x:v>4ZS7</x:v>
      </x:c>
    </x:row>
    <x:row r="118" ht="42" customHeight="1">
      <x:c r="A118" s="268" t="str">
        <x:v>117</x:v>
      </x:c>
      <x:c r="B118" s="269" t="str">
        <x:v>Myostatin/GDF8</x:v>
      </x:c>
      <x:c r="C118" s="269" t="str">
        <x:v>Myostatin</x:v>
      </x:c>
      <x:c r="D118" s="269" t="str">
        <x:v>GDF8</x:v>
      </x:c>
      <x:c r="E118" s="269" t="str">
        <x:v>MSTN, GDF8, Growth/differentiation factor 8</x:v>
      </x:c>
      <x:c r="F118" s="269" t="str">
        <x:v>Homo sapiens</x:v>
      </x:c>
      <x:c r="G118" s="269" t="str">
        <x:v>Fab</x:v>
      </x:c>
      <x:c r="H118" s="269" t="str">
        <x:v>1</x:v>
      </x:c>
      <x:c r="I118" s="270" t="str">
        <x:v>5F3H</x:v>
      </x:c>
    </x:row>
    <x:row r="119" ht="42" customHeight="1">
      <x:c r="A119" s="268" t="str">
        <x:v>118</x:v>
      </x:c>
      <x:c r="B119" s="269" t="str">
        <x:v>TrkB/NTRK2</x:v>
      </x:c>
      <x:c r="C119" s="269" t="str">
        <x:v>TrkB</x:v>
      </x:c>
      <x:c r="D119" s="269" t="str">
        <x:v>NTRK2</x:v>
      </x:c>
      <x:c r="E119" s="269" t="str">
        <x:v>NTRK2, Tropomyosin receptor kinase B, Neurotrophic tyrosine kinase receptor type 2</x:v>
      </x:c>
      <x:c r="F119" s="269" t="str">
        <x:v>Homo sapiens</x:v>
      </x:c>
      <x:c r="G119" s="269" t="str">
        <x:v>Fab</x:v>
      </x:c>
      <x:c r="H119" s="269" t="str">
        <x:v>1</x:v>
      </x:c>
      <x:c r="I119" s="270" t="str">
        <x:v>5MO9</x:v>
      </x:c>
    </x:row>
    <x:row r="120" ht="42" customHeight="1">
      <x:c r="A120" s="268" t="str">
        <x:v>119</x:v>
      </x:c>
      <x:c r="B120" s="269" t="str">
        <x:v>CD40LG/CD40LG</x:v>
      </x:c>
      <x:c r="C120" s="269" t="str">
        <x:v>CD40LG</x:v>
      </x:c>
      <x:c r="D120" s="269" t="str">
        <x:v>CD40LG</x:v>
      </x:c>
      <x:c r="E120" s="269" t="str">
        <x:v>CD40LG, CD40LG</x:v>
      </x:c>
      <x:c r="F120" s="269" t="str">
        <x:v>HOMO SAPIENS</x:v>
      </x:c>
      <x:c r="G120" s="269" t="str">
        <x:v>VHH</x:v>
      </x:c>
      <x:c r="H120" s="269" t="str">
        <x:v>1</x:v>
      </x:c>
      <x:c r="I120" s="270" t="str">
        <x:v>1ALY</x:v>
      </x:c>
    </x:row>
    <x:row r="121" ht="42" customHeight="1">
      <x:c r="A121" s="268" t="str">
        <x:v>120</x:v>
      </x:c>
      <x:c r="B121" s="269" t="str">
        <x:v>ARSA/ARSA</x:v>
      </x:c>
      <x:c r="C121" s="269" t="str">
        <x:v>ARSA</x:v>
      </x:c>
      <x:c r="D121" s="269" t="str">
        <x:v>ARSA</x:v>
      </x:c>
      <x:c r="E121" s="269" t="str">
        <x:v>ARSA, ARSA</x:v>
      </x:c>
      <x:c r="F121" s="269" t="str">
        <x:v>HOMO SAPIENS</x:v>
      </x:c>
      <x:c r="G121" s="269" t="str">
        <x:v>Fab</x:v>
      </x:c>
      <x:c r="H121" s="269" t="str">
        <x:v>1</x:v>
      </x:c>
      <x:c r="I121" s="270" t="str">
        <x:v>1AUK</x:v>
      </x:c>
    </x:row>
    <x:row r="122" ht="42" customHeight="1">
      <x:c r="A122" s="268" t="str">
        <x:v>121</x:v>
      </x:c>
      <x:c r="B122" s="269" t="str">
        <x:v>APOA1/APOA1</x:v>
      </x:c>
      <x:c r="C122" s="269" t="str">
        <x:v>APOA1</x:v>
      </x:c>
      <x:c r="D122" s="269" t="str">
        <x:v>APOA1</x:v>
      </x:c>
      <x:c r="E122" s="269" t="str">
        <x:v>APOA1, APOA1</x:v>
      </x:c>
      <x:c r="F122" s="269" t="str">
        <x:v>HOMO SAPIENS</x:v>
      </x:c>
      <x:c r="G122" s="269" t="str">
        <x:v>Fab</x:v>
      </x:c>
      <x:c r="H122" s="269" t="str">
        <x:v>1</x:v>
      </x:c>
      <x:c r="I122" s="270" t="str">
        <x:v>1AV1</x:v>
      </x:c>
    </x:row>
    <x:row r="123" ht="42" customHeight="1">
      <x:c r="A123" s="268" t="str">
        <x:v>122</x:v>
      </x:c>
      <x:c r="B123" s="269" t="str">
        <x:v>APOE/APOE</x:v>
      </x:c>
      <x:c r="C123" s="269" t="str">
        <x:v>APOE</x:v>
      </x:c>
      <x:c r="D123" s="269" t="str">
        <x:v>APOE</x:v>
      </x:c>
      <x:c r="E123" s="269" t="str">
        <x:v>APOE, APOE</x:v>
      </x:c>
      <x:c r="F123" s="269" t="str">
        <x:v>HOMO SAPIENS</x:v>
      </x:c>
      <x:c r="G123" s="269" t="str">
        <x:v>VHH</x:v>
      </x:c>
      <x:c r="H123" s="269" t="str">
        <x:v>1</x:v>
      </x:c>
      <x:c r="I123" s="270" t="str">
        <x:v>1B68</x:v>
      </x:c>
    </x:row>
    <x:row r="124" ht="42" customHeight="1">
      <x:c r="A124" s="268" t="str">
        <x:v>123</x:v>
      </x:c>
      <x:c r="B124" s="269" t="str">
        <x:v>EPO/EPO</x:v>
      </x:c>
      <x:c r="C124" s="269" t="str">
        <x:v>EPO</x:v>
      </x:c>
      <x:c r="D124" s="269" t="str">
        <x:v>EPO</x:v>
      </x:c>
      <x:c r="E124" s="269" t="str">
        <x:v>EPO, EPO</x:v>
      </x:c>
      <x:c r="F124" s="269" t="str">
        <x:v>HOMO SAPIENS</x:v>
      </x:c>
      <x:c r="G124" s="269" t="str">
        <x:v>VHH</x:v>
      </x:c>
      <x:c r="H124" s="269" t="str">
        <x:v>1</x:v>
      </x:c>
      <x:c r="I124" s="270" t="str">
        <x:v>1BUY</x:v>
      </x:c>
    </x:row>
    <x:row r="125" ht="42" customHeight="1">
      <x:c r="A125" s="268" t="str">
        <x:v>124</x:v>
      </x:c>
      <x:c r="B125" s="269" t="str">
        <x:v>DMD/DMD</x:v>
      </x:c>
      <x:c r="C125" s="269" t="str">
        <x:v>DMD</x:v>
      </x:c>
      <x:c r="D125" s="269" t="str">
        <x:v>DMD</x:v>
      </x:c>
      <x:c r="E125" s="269" t="str">
        <x:v>DMD, DMD</x:v>
      </x:c>
      <x:c r="F125" s="269" t="str">
        <x:v>HOMO SAPIENS</x:v>
      </x:c>
      <x:c r="G125" s="269" t="str">
        <x:v>Fab</x:v>
      </x:c>
      <x:c r="H125" s="269" t="str">
        <x:v>1</x:v>
      </x:c>
      <x:c r="I125" s="270" t="str">
        <x:v>1DXX</x:v>
      </x:c>
    </x:row>
    <x:row r="126" ht="42" customHeight="1">
      <x:c r="A126" s="268" t="str">
        <x:v>125</x:v>
      </x:c>
      <x:c r="B126" s="269" t="str">
        <x:v>APC/APC</x:v>
      </x:c>
      <x:c r="C126" s="269" t="str">
        <x:v>APC</x:v>
      </x:c>
      <x:c r="D126" s="269" t="str">
        <x:v>APC</x:v>
      </x:c>
      <x:c r="E126" s="269" t="str">
        <x:v>APC, APC</x:v>
      </x:c>
      <x:c r="F126" s="269" t="str">
        <x:v>HOMO SAPIENS</x:v>
      </x:c>
      <x:c r="G126" s="269" t="str">
        <x:v>VHH</x:v>
      </x:c>
      <x:c r="H126" s="269" t="str">
        <x:v>1</x:v>
      </x:c>
      <x:c r="I126" s="270" t="str">
        <x:v>1EMU</x:v>
      </x:c>
    </x:row>
    <x:row r="127" ht="42" customHeight="1">
      <x:c r="A127" s="268" t="str">
        <x:v>126</x:v>
      </x:c>
      <x:c r="B127" s="269" t="str">
        <x:v>EPOR/EPOR</x:v>
      </x:c>
      <x:c r="C127" s="269" t="str">
        <x:v>EPOR</x:v>
      </x:c>
      <x:c r="D127" s="269" t="str">
        <x:v>EPOR</x:v>
      </x:c>
      <x:c r="E127" s="269" t="str">
        <x:v>EPOR, EPOR</x:v>
      </x:c>
      <x:c r="F127" s="269" t="str">
        <x:v>HOMO SAPIENS</x:v>
      </x:c>
      <x:c r="G127" s="269" t="str">
        <x:v>Fab</x:v>
      </x:c>
      <x:c r="H127" s="269" t="str">
        <x:v>1</x:v>
      </x:c>
      <x:c r="I127" s="270" t="str">
        <x:v>1ERN</x:v>
      </x:c>
    </x:row>
    <x:row r="128" ht="42" customHeight="1">
      <x:c r="A128" s="268" t="str">
        <x:v>127</x:v>
      </x:c>
      <x:c r="B128" s="269" t="str">
        <x:v>TTR/TTR</x:v>
      </x:c>
      <x:c r="C128" s="269" t="str">
        <x:v>TTR</x:v>
      </x:c>
      <x:c r="D128" s="269" t="str">
        <x:v>TTR</x:v>
      </x:c>
      <x:c r="E128" s="269" t="str">
        <x:v>TTR, TTR</x:v>
      </x:c>
      <x:c r="F128" s="269" t="str">
        <x:v>HOMO SAPIENS</x:v>
      </x:c>
      <x:c r="G128" s="269" t="str">
        <x:v>Fab</x:v>
      </x:c>
      <x:c r="H128" s="269" t="str">
        <x:v>1</x:v>
      </x:c>
      <x:c r="I128" s="270" t="str">
        <x:v>1F41</x:v>
      </x:c>
    </x:row>
    <x:row r="129" ht="42" customHeight="1">
      <x:c r="A129" s="268" t="str">
        <x:v>128</x:v>
      </x:c>
      <x:c r="B129" s="269" t="str">
        <x:v>IL12B/IL12B</x:v>
      </x:c>
      <x:c r="C129" s="269" t="str">
        <x:v>IL12B</x:v>
      </x:c>
      <x:c r="D129" s="269" t="str">
        <x:v>IL12B</x:v>
      </x:c>
      <x:c r="E129" s="269" t="str">
        <x:v>IL12B, IL12B</x:v>
      </x:c>
      <x:c r="F129" s="269" t="str">
        <x:v>HOMO SAPIENS</x:v>
      </x:c>
      <x:c r="G129" s="269" t="str">
        <x:v>Fab</x:v>
      </x:c>
      <x:c r="H129" s="269" t="str">
        <x:v>1</x:v>
      </x:c>
      <x:c r="I129" s="270" t="str">
        <x:v>1F45</x:v>
      </x:c>
    </x:row>
    <x:row r="130" ht="42" customHeight="1">
      <x:c r="A130" s="268" t="str">
        <x:v>129</x:v>
      </x:c>
      <x:c r="B130" s="269" t="str">
        <x:v>IFNG/IFNG</x:v>
      </x:c>
      <x:c r="C130" s="269" t="str">
        <x:v>IFNG</x:v>
      </x:c>
      <x:c r="D130" s="269" t="str">
        <x:v>IFNG</x:v>
      </x:c>
      <x:c r="E130" s="269" t="str">
        <x:v>IFNG, IFNG</x:v>
      </x:c>
      <x:c r="F130" s="269" t="str">
        <x:v>HOMO SAPIENS</x:v>
      </x:c>
      <x:c r="G130" s="269" t="str">
        <x:v>Fab</x:v>
      </x:c>
      <x:c r="H130" s="269" t="str">
        <x:v>1</x:v>
      </x:c>
      <x:c r="I130" s="270" t="str">
        <x:v>1FG9</x:v>
      </x:c>
    </x:row>
    <x:row r="131" ht="42" customHeight="1">
      <x:c r="A131" s="268" t="str">
        <x:v>130</x:v>
      </x:c>
      <x:c r="B131" s="269" t="str">
        <x:v>FKBP1A/FKBP1A</x:v>
      </x:c>
      <x:c r="C131" s="269" t="str">
        <x:v>FKBP1A</x:v>
      </x:c>
      <x:c r="D131" s="269" t="str">
        <x:v>FKBP1A</x:v>
      </x:c>
      <x:c r="E131" s="269" t="str">
        <x:v>FKBP1A, FKBP1A</x:v>
      </x:c>
      <x:c r="F131" s="269" t="str">
        <x:v>HOMO SAPIENS</x:v>
      </x:c>
      <x:c r="G131" s="269" t="str">
        <x:v>VHH</x:v>
      </x:c>
      <x:c r="H131" s="269" t="str">
        <x:v>1</x:v>
      </x:c>
      <x:c r="I131" s="270" t="str">
        <x:v>1FKJ</x:v>
      </x:c>
    </x:row>
    <x:row r="132" ht="42" customHeight="1">
      <x:c r="A132" s="268" t="str">
        <x:v>131</x:v>
      </x:c>
      <x:c r="B132" s="269" t="str">
        <x:v>CRP/CRP</x:v>
      </x:c>
      <x:c r="C132" s="269" t="str">
        <x:v>CRP</x:v>
      </x:c>
      <x:c r="D132" s="269" t="str">
        <x:v>CRP</x:v>
      </x:c>
      <x:c r="E132" s="269" t="str">
        <x:v>CRP, CRP</x:v>
      </x:c>
      <x:c r="F132" s="269" t="str">
        <x:v>HOMO SAPIENS</x:v>
      </x:c>
      <x:c r="G132" s="269" t="str">
        <x:v>Fab</x:v>
      </x:c>
      <x:c r="H132" s="269" t="str">
        <x:v>1</x:v>
      </x:c>
      <x:c r="I132" s="270" t="str">
        <x:v>1GNH</x:v>
      </x:c>
    </x:row>
    <x:row r="133" ht="42" customHeight="1">
      <x:c r="A133" s="268" t="str">
        <x:v>132</x:v>
      </x:c>
      <x:c r="B133" s="269" t="str">
        <x:v>IL1B/IL1B</x:v>
      </x:c>
      <x:c r="C133" s="269" t="str">
        <x:v>IL1B</x:v>
      </x:c>
      <x:c r="D133" s="269" t="str">
        <x:v>IL1B</x:v>
      </x:c>
      <x:c r="E133" s="269" t="str">
        <x:v>IL1B, IL1B</x:v>
      </x:c>
      <x:c r="F133" s="269" t="str">
        <x:v>HOMO SAPIENS</x:v>
      </x:c>
      <x:c r="G133" s="269" t="str">
        <x:v>VHH</x:v>
      </x:c>
      <x:c r="H133" s="269" t="str">
        <x:v>1</x:v>
      </x:c>
      <x:c r="I133" s="270" t="str">
        <x:v>1I1B</x:v>
      </x:c>
    </x:row>
    <x:row r="134" ht="42" customHeight="1">
      <x:c r="A134" s="268" t="str">
        <x:v>133</x:v>
      </x:c>
      <x:c r="B134" s="269" t="str">
        <x:v>IL4R/IL4R</x:v>
      </x:c>
      <x:c r="C134" s="269" t="str">
        <x:v>IL4R</x:v>
      </x:c>
      <x:c r="D134" s="269" t="str">
        <x:v>IL4R</x:v>
      </x:c>
      <x:c r="E134" s="269" t="str">
        <x:v>IL4R, IL4R</x:v>
      </x:c>
      <x:c r="F134" s="269" t="str">
        <x:v>HOMO SAPIENS</x:v>
      </x:c>
      <x:c r="G134" s="269" t="str">
        <x:v>Fab</x:v>
      </x:c>
      <x:c r="H134" s="269" t="str">
        <x:v>1</x:v>
      </x:c>
      <x:c r="I134" s="270" t="str">
        <x:v>1IAR</x:v>
      </x:c>
    </x:row>
    <x:row r="135" ht="42" customHeight="1">
      <x:c r="A135" s="268" t="str">
        <x:v>134</x:v>
      </x:c>
      <x:c r="B135" s="269" t="str">
        <x:v>TNNI3/TNNI3</x:v>
      </x:c>
      <x:c r="C135" s="269" t="str">
        <x:v>TNNI3</x:v>
      </x:c>
      <x:c r="D135" s="269" t="str">
        <x:v>TNNI3</x:v>
      </x:c>
      <x:c r="E135" s="269" t="str">
        <x:v>TNNI3, TNNI3</x:v>
      </x:c>
      <x:c r="F135" s="269" t="str">
        <x:v>HOMO SAPIENS</x:v>
      </x:c>
      <x:c r="G135" s="269" t="str">
        <x:v>Fab</x:v>
      </x:c>
      <x:c r="H135" s="269" t="str">
        <x:v>1</x:v>
      </x:c>
      <x:c r="I135" s="270" t="str">
        <x:v>1J1E</x:v>
      </x:c>
    </x:row>
    <x:row r="136" ht="42" customHeight="1">
      <x:c r="A136" s="268" t="str">
        <x:v>135</x:v>
      </x:c>
      <x:c r="B136" s="269" t="str">
        <x:v>PAH/PAH</x:v>
      </x:c>
      <x:c r="C136" s="269" t="str">
        <x:v>PAH</x:v>
      </x:c>
      <x:c r="D136" s="269" t="str">
        <x:v>PAH</x:v>
      </x:c>
      <x:c r="E136" s="269" t="str">
        <x:v>PAH, PAH</x:v>
      </x:c>
      <x:c r="F136" s="269" t="str">
        <x:v>HOMO SAPIENS</x:v>
      </x:c>
      <x:c r="G136" s="269" t="str">
        <x:v>Fab</x:v>
      </x:c>
      <x:c r="H136" s="269" t="str">
        <x:v>1</x:v>
      </x:c>
      <x:c r="I136" s="270" t="str">
        <x:v>1J8T</x:v>
      </x:c>
    </x:row>
    <x:row r="137" ht="42" customHeight="1">
      <x:c r="A137" s="268" t="str">
        <x:v>136</x:v>
      </x:c>
      <x:c r="B137" s="269" t="str">
        <x:v>IMPDH1/IMPDH1</x:v>
      </x:c>
      <x:c r="C137" s="269" t="str">
        <x:v>IMPDH1</x:v>
      </x:c>
      <x:c r="D137" s="269" t="str">
        <x:v>IMPDH1</x:v>
      </x:c>
      <x:c r="E137" s="269" t="str">
        <x:v>IMPDH1, IMPDH1</x:v>
      </x:c>
      <x:c r="F137" s="269" t="str">
        <x:v>HOMO SAPIENS</x:v>
      </x:c>
      <x:c r="G137" s="269" t="str">
        <x:v>Fab</x:v>
      </x:c>
      <x:c r="H137" s="269" t="str">
        <x:v>1</x:v>
      </x:c>
      <x:c r="I137" s="270" t="str">
        <x:v>1JCN</x:v>
      </x:c>
    </x:row>
    <x:row r="138" ht="42" customHeight="1">
      <x:c r="A138" s="268" t="str">
        <x:v>137</x:v>
      </x:c>
      <x:c r="B138" s="269" t="str">
        <x:v>TGFB1/TGFB1</x:v>
      </x:c>
      <x:c r="C138" s="269" t="str">
        <x:v>TGFB1</x:v>
      </x:c>
      <x:c r="D138" s="269" t="str">
        <x:v>TGFB1</x:v>
      </x:c>
      <x:c r="E138" s="269" t="str">
        <x:v>TGFB1, TGFB1</x:v>
      </x:c>
      <x:c r="F138" s="269" t="str">
        <x:v>HOMO SAPIENS</x:v>
      </x:c>
      <x:c r="G138" s="269" t="str">
        <x:v>VHH</x:v>
      </x:c>
      <x:c r="H138" s="269" t="str">
        <x:v>1</x:v>
      </x:c>
      <x:c r="I138" s="270" t="str">
        <x:v>1KLC</x:v>
      </x:c>
    </x:row>
    <x:row r="139" ht="42" customHeight="1">
      <x:c r="A139" s="268" t="str">
        <x:v>138</x:v>
      </x:c>
      <x:c r="B139" s="269" t="str">
        <x:v>ERBB3/ERBB3</x:v>
      </x:c>
      <x:c r="C139" s="269" t="str">
        <x:v>ERBB3</x:v>
      </x:c>
      <x:c r="D139" s="269" t="str">
        <x:v>ERBB3</x:v>
      </x:c>
      <x:c r="E139" s="269" t="str">
        <x:v>ERBB3, ERBB3</x:v>
      </x:c>
      <x:c r="F139" s="269" t="str">
        <x:v>HOMO SAPIENS</x:v>
      </x:c>
      <x:c r="G139" s="269" t="str">
        <x:v>Fab</x:v>
      </x:c>
      <x:c r="H139" s="269" t="str">
        <x:v>1</x:v>
      </x:c>
      <x:c r="I139" s="270" t="str">
        <x:v>1M6B</x:v>
      </x:c>
    </x:row>
    <x:row r="140" ht="42" customHeight="1">
      <x:c r="A140" s="268" t="str">
        <x:v>139</x:v>
      </x:c>
      <x:c r="B140" s="269" t="str">
        <x:v>IL6R/IL6R</x:v>
      </x:c>
      <x:c r="C140" s="269" t="str">
        <x:v>IL6R</x:v>
      </x:c>
      <x:c r="D140" s="269" t="str">
        <x:v>IL6R</x:v>
      </x:c>
      <x:c r="E140" s="269" t="str">
        <x:v>IL6R, IL6R</x:v>
      </x:c>
      <x:c r="F140" s="269" t="str">
        <x:v>HOMO SAPIENS</x:v>
      </x:c>
      <x:c r="G140" s="269" t="str">
        <x:v>Fab</x:v>
      </x:c>
      <x:c r="H140" s="269" t="str">
        <x:v>1</x:v>
      </x:c>
      <x:c r="I140" s="270" t="str">
        <x:v>1N26</x:v>
      </x:c>
    </x:row>
    <x:row r="141" ht="42" customHeight="1">
      <x:c r="A141" s="268" t="str">
        <x:v>140</x:v>
      </x:c>
      <x:c r="B141" s="269" t="str">
        <x:v>IFNAR2/IFNAR2</x:v>
      </x:c>
      <x:c r="C141" s="269" t="str">
        <x:v>IFNAR2</x:v>
      </x:c>
      <x:c r="D141" s="269" t="str">
        <x:v>IFNAR2</x:v>
      </x:c>
      <x:c r="E141" s="269" t="str">
        <x:v>IFNAR2, IFNAR2</x:v>
      </x:c>
      <x:c r="F141" s="269" t="str">
        <x:v>HOMO SAPIENS</x:v>
      </x:c>
      <x:c r="G141" s="269" t="str">
        <x:v>VHH</x:v>
      </x:c>
      <x:c r="H141" s="269" t="str">
        <x:v>1</x:v>
      </x:c>
      <x:c r="I141" s="270" t="str">
        <x:v>1N6V</x:v>
      </x:c>
    </x:row>
    <x:row r="142" ht="42" customHeight="1">
      <x:c r="A142" s="268" t="str">
        <x:v>141</x:v>
      </x:c>
      <x:c r="B142" s="269" t="str">
        <x:v>CXCL10/CXCL10</x:v>
      </x:c>
      <x:c r="C142" s="269" t="str">
        <x:v>CXCL10</x:v>
      </x:c>
      <x:c r="D142" s="269" t="str">
        <x:v>CXCL10</x:v>
      </x:c>
      <x:c r="E142" s="269" t="str">
        <x:v>CXCL10, CXCL10</x:v>
      </x:c>
      <x:c r="F142" s="269" t="str">
        <x:v>HOMO SAPIENS</x:v>
      </x:c>
      <x:c r="G142" s="269" t="str">
        <x:v>Fab</x:v>
      </x:c>
      <x:c r="H142" s="269" t="str">
        <x:v>1</x:v>
      </x:c>
      <x:c r="I142" s="270" t="str">
        <x:v>1O7Y</x:v>
      </x:c>
    </x:row>
    <x:row r="143" ht="42" customHeight="1">
      <x:c r="A143" s="268" t="str">
        <x:v>142</x:v>
      </x:c>
      <x:c r="B143" s="269" t="str">
        <x:v>NR1H4 / FXR/NR1H4</x:v>
      </x:c>
      <x:c r="C143" s="269" t="str">
        <x:v>NR1H4 / FXR</x:v>
      </x:c>
      <x:c r="D143" s="269" t="str">
        <x:v>NR1H4</x:v>
      </x:c>
      <x:c r="E143" s="269" t="str">
        <x:v>NR1H4, NR1H4 / FXR</x:v>
      </x:c>
      <x:c r="F143" s="269" t="str">
        <x:v>HOMO SAPIENS</x:v>
      </x:c>
      <x:c r="G143" s="269" t="str">
        <x:v>Fab</x:v>
      </x:c>
      <x:c r="H143" s="269" t="str">
        <x:v>1</x:v>
      </x:c>
      <x:c r="I143" s="270" t="str">
        <x:v>1OSH</x:v>
      </x:c>
    </x:row>
    <x:row r="144" ht="42" customHeight="1">
      <x:c r="A144" s="268" t="str">
        <x:v>143</x:v>
      </x:c>
      <x:c r="B144" s="269" t="str">
        <x:v>MYBPC3/MYBPC3</x:v>
      </x:c>
      <x:c r="C144" s="269" t="str">
        <x:v>MYBPC3</x:v>
      </x:c>
      <x:c r="D144" s="269" t="str">
        <x:v>MYBPC3</x:v>
      </x:c>
      <x:c r="E144" s="269" t="str">
        <x:v>MYBPC3, MYBPC3</x:v>
      </x:c>
      <x:c r="F144" s="269" t="str">
        <x:v>HOMO SAPIENS</x:v>
      </x:c>
      <x:c r="G144" s="269" t="str">
        <x:v>VHH</x:v>
      </x:c>
      <x:c r="H144" s="269" t="str">
        <x:v>1</x:v>
      </x:c>
      <x:c r="I144" s="270" t="str">
        <x:v>1PD6</x:v>
      </x:c>
    </x:row>
    <x:row r="145" ht="42" customHeight="1">
      <x:c r="A145" s="268" t="str">
        <x:v>144</x:v>
      </x:c>
      <x:c r="B145" s="269" t="str">
        <x:v>HLA-DRB1/HLA-DRB1</x:v>
      </x:c>
      <x:c r="C145" s="269" t="str">
        <x:v>HLA-DRB1</x:v>
      </x:c>
      <x:c r="D145" s="269" t="str">
        <x:v>HLA-DRB1</x:v>
      </x:c>
      <x:c r="E145" s="269" t="str">
        <x:v>HLA-DRB1, HLA-DRB1</x:v>
      </x:c>
      <x:c r="F145" s="269" t="str">
        <x:v>HOMO SAPIENS</x:v>
      </x:c>
      <x:c r="G145" s="269" t="str">
        <x:v>Fab</x:v>
      </x:c>
      <x:c r="H145" s="269" t="str">
        <x:v>1</x:v>
      </x:c>
      <x:c r="I145" s="270" t="str">
        <x:v>1PYW</x:v>
      </x:c>
    </x:row>
    <x:row r="146" ht="42" customHeight="1">
      <x:c r="A146" s="268" t="str">
        <x:v>145</x:v>
      </x:c>
      <x:c r="B146" s="269" t="str">
        <x:v>PRNP/PRNP</x:v>
      </x:c>
      <x:c r="C146" s="269" t="str">
        <x:v>PRNP</x:v>
      </x:c>
      <x:c r="D146" s="269" t="str">
        <x:v>PRNP</x:v>
      </x:c>
      <x:c r="E146" s="269" t="str">
        <x:v>PRNP, PRNP</x:v>
      </x:c>
      <x:c r="F146" s="269" t="str">
        <x:v>HOMO SAPIENS</x:v>
      </x:c>
      <x:c r="G146" s="269" t="str">
        <x:v>VHH</x:v>
      </x:c>
      <x:c r="H146" s="269" t="str">
        <x:v>1</x:v>
      </x:c>
      <x:c r="I146" s="270" t="str">
        <x:v>1QLX</x:v>
      </x:c>
    </x:row>
    <x:row r="147" ht="42" customHeight="1">
      <x:c r="A147" s="268" t="str">
        <x:v>146</x:v>
      </x:c>
      <x:c r="B147" s="269" t="str">
        <x:v>ACE2/ACE2</x:v>
      </x:c>
      <x:c r="C147" s="269" t="str">
        <x:v>ACE2</x:v>
      </x:c>
      <x:c r="D147" s="269" t="str">
        <x:v>ACE2</x:v>
      </x:c>
      <x:c r="E147" s="269" t="str">
        <x:v>ACE2, ACE2</x:v>
      </x:c>
      <x:c r="F147" s="269" t="str">
        <x:v>HOMO SAPIENS</x:v>
      </x:c>
      <x:c r="G147" s="269" t="str">
        <x:v>Fab</x:v>
      </x:c>
      <x:c r="H147" s="269" t="str">
        <x:v>1</x:v>
      </x:c>
      <x:c r="I147" s="270" t="str">
        <x:v>1R42</x:v>
      </x:c>
    </x:row>
    <x:row r="148" ht="42" customHeight="1">
      <x:c r="A148" s="268" t="str">
        <x:v>147</x:v>
      </x:c>
      <x:c r="B148" s="269" t="str">
        <x:v>KIT/KIT</x:v>
      </x:c>
      <x:c r="C148" s="269" t="str">
        <x:v>KIT</x:v>
      </x:c>
      <x:c r="D148" s="269" t="str">
        <x:v>KIT</x:v>
      </x:c>
      <x:c r="E148" s="269" t="str">
        <x:v>KIT, KIT</x:v>
      </x:c>
      <x:c r="F148" s="269" t="str">
        <x:v>HOMO SAPIENS</x:v>
      </x:c>
      <x:c r="G148" s="269" t="str">
        <x:v>Fab</x:v>
      </x:c>
      <x:c r="H148" s="269" t="str">
        <x:v>1</x:v>
      </x:c>
      <x:c r="I148" s="270" t="str">
        <x:v>1T45</x:v>
      </x:c>
    </x:row>
    <x:row r="149" ht="42" customHeight="1">
      <x:c r="A149" s="268" t="str">
        <x:v>148</x:v>
      </x:c>
      <x:c r="B149" s="269" t="str">
        <x:v>TP53/TP53</x:v>
      </x:c>
      <x:c r="C149" s="269" t="str">
        <x:v>TP53</x:v>
      </x:c>
      <x:c r="D149" s="269" t="str">
        <x:v>TP53</x:v>
      </x:c>
      <x:c r="E149" s="269" t="str">
        <x:v>TP53, TP53</x:v>
      </x:c>
      <x:c r="F149" s="269" t="str">
        <x:v>HOMO SAPIENS</x:v>
      </x:c>
      <x:c r="G149" s="269" t="str">
        <x:v>VHH</x:v>
      </x:c>
      <x:c r="H149" s="269" t="str">
        <x:v>1</x:v>
      </x:c>
      <x:c r="I149" s="270" t="str">
        <x:v>1TUP</x:v>
      </x:c>
    </x:row>
    <x:row r="150" ht="42" customHeight="1">
      <x:c r="A150" s="268" t="str">
        <x:v>149</x:v>
      </x:c>
      <x:c r="B150" s="269" t="str">
        <x:v>RARB/RARB</x:v>
      </x:c>
      <x:c r="C150" s="269" t="str">
        <x:v>RARB</x:v>
      </x:c>
      <x:c r="D150" s="269" t="str">
        <x:v>RARB</x:v>
      </x:c>
      <x:c r="E150" s="269" t="str">
        <x:v>RARB, RARB</x:v>
      </x:c>
      <x:c r="F150" s="269" t="str">
        <x:v>HOMO SAPIENS</x:v>
      </x:c>
      <x:c r="G150" s="269" t="str">
        <x:v>Fab</x:v>
      </x:c>
      <x:c r="H150" s="269" t="str">
        <x:v>1</x:v>
      </x:c>
      <x:c r="I150" s="270" t="str">
        <x:v>1XAP</x:v>
      </x:c>
    </x:row>
    <x:row r="151" ht="42" customHeight="1">
      <x:c r="A151" s="268" t="str">
        <x:v>150</x:v>
      </x:c>
      <x:c r="B151" s="269" t="str">
        <x:v>TNFRSF17/TNFRSF17</x:v>
      </x:c>
      <x:c r="C151" s="269" t="str">
        <x:v>TNFRSF17</x:v>
      </x:c>
      <x:c r="D151" s="269" t="str">
        <x:v>TNFRSF17</x:v>
      </x:c>
      <x:c r="E151" s="269" t="str">
        <x:v>TNFRSF17, TNFRSF17</x:v>
      </x:c>
      <x:c r="F151" s="269" t="str">
        <x:v>MUS MUSCULUS</x:v>
      </x:c>
      <x:c r="G151" s="269" t="str">
        <x:v>Fab</x:v>
      </x:c>
      <x:c r="H151" s="269" t="str">
        <x:v>1</x:v>
      </x:c>
      <x:c r="I151" s="270" t="str">
        <x:v>1XU2</x:v>
      </x:c>
    </x:row>
    <x:row r="152" ht="42" customHeight="1">
      <x:c r="A152" s="268" t="str">
        <x:v>151</x:v>
      </x:c>
      <x:c r="B152" s="269" t="str">
        <x:v>HPRT1/HPRT1</x:v>
      </x:c>
      <x:c r="C152" s="269" t="str">
        <x:v>HPRT1</x:v>
      </x:c>
      <x:c r="D152" s="269" t="str">
        <x:v>HPRT1</x:v>
      </x:c>
      <x:c r="E152" s="269" t="str">
        <x:v>HPRT1, HPRT1</x:v>
      </x:c>
      <x:c r="F152" s="269" t="str">
        <x:v>HOMO SAPIENS</x:v>
      </x:c>
      <x:c r="G152" s="269" t="str">
        <x:v>Fab</x:v>
      </x:c>
      <x:c r="H152" s="269" t="str">
        <x:v>1</x:v>
      </x:c>
      <x:c r="I152" s="270" t="str">
        <x:v>1Z7G</x:v>
      </x:c>
    </x:row>
    <x:row r="153" ht="42" customHeight="1">
      <x:c r="A153" s="268" t="str">
        <x:v>152</x:v>
      </x:c>
      <x:c r="B153" s="269" t="str">
        <x:v>IL2RA/IL2RA</x:v>
      </x:c>
      <x:c r="C153" s="269" t="str">
        <x:v>IL2RA</x:v>
      </x:c>
      <x:c r="D153" s="269" t="str">
        <x:v>IL2RA</x:v>
      </x:c>
      <x:c r="E153" s="269" t="str">
        <x:v>IL2RA, IL2RA</x:v>
      </x:c>
      <x:c r="F153" s="269" t="str">
        <x:v>HOMO SAPIENS</x:v>
      </x:c>
      <x:c r="G153" s="269" t="str">
        <x:v>VHH</x:v>
      </x:c>
      <x:c r="H153" s="269" t="str">
        <x:v>1</x:v>
      </x:c>
      <x:c r="I153" s="270" t="str">
        <x:v>1Z92</x:v>
      </x:c>
    </x:row>
    <x:row r="154" ht="42" customHeight="1">
      <x:c r="A154" s="268" t="str">
        <x:v>153</x:v>
      </x:c>
      <x:c r="B154" s="269" t="str">
        <x:v>ALDH2/ALDH2</x:v>
      </x:c>
      <x:c r="C154" s="269" t="str">
        <x:v>ALDH2</x:v>
      </x:c>
      <x:c r="D154" s="269" t="str">
        <x:v>ALDH2</x:v>
      </x:c>
      <x:c r="E154" s="269" t="str">
        <x:v>ALDH2, ALDH2</x:v>
      </x:c>
      <x:c r="F154" s="269" t="str">
        <x:v>HOMO SAPIENS</x:v>
      </x:c>
      <x:c r="G154" s="269" t="str">
        <x:v>Fab</x:v>
      </x:c>
      <x:c r="H154" s="269" t="str">
        <x:v>1</x:v>
      </x:c>
      <x:c r="I154" s="270" t="str">
        <x:v>1ZUM</x:v>
      </x:c>
    </x:row>
    <x:row r="155" ht="42" customHeight="1">
      <x:c r="A155" s="268" t="str">
        <x:v>154</x:v>
      </x:c>
      <x:c r="B155" s="269" t="str">
        <x:v>KITLG/KITLG</x:v>
      </x:c>
      <x:c r="C155" s="269" t="str">
        <x:v>KITLG</x:v>
      </x:c>
      <x:c r="D155" s="269" t="str">
        <x:v>KITLG</x:v>
      </x:c>
      <x:c r="E155" s="269" t="str">
        <x:v>KITLG, KITLG</x:v>
      </x:c>
      <x:c r="F155" s="269" t="str">
        <x:v>HOMO SAPIENS</x:v>
      </x:c>
      <x:c r="G155" s="269" t="str">
        <x:v>Fab</x:v>
      </x:c>
      <x:c r="H155" s="269" t="str">
        <x:v>1</x:v>
      </x:c>
      <x:c r="I155" s="270" t="str">
        <x:v>2E9W</x:v>
      </x:c>
    </x:row>
    <x:row r="156" ht="42" customHeight="1">
      <x:c r="A156" s="268" t="str">
        <x:v>155</x:v>
      </x:c>
      <x:c r="B156" s="269" t="str">
        <x:v>PDHX/PDHX</x:v>
      </x:c>
      <x:c r="C156" s="269" t="str">
        <x:v>PDHX</x:v>
      </x:c>
      <x:c r="D156" s="269" t="str">
        <x:v>PDHX</x:v>
      </x:c>
      <x:c r="E156" s="269" t="str">
        <x:v>PDHX, PDHX</x:v>
      </x:c>
      <x:c r="F156" s="269" t="str">
        <x:v>HOMO SAPIENS</x:v>
      </x:c>
      <x:c r="G156" s="269" t="str">
        <x:v>VHH</x:v>
      </x:c>
      <x:c r="H156" s="269" t="str">
        <x:v>1</x:v>
      </x:c>
      <x:c r="I156" s="270" t="str">
        <x:v>2F60</x:v>
      </x:c>
    </x:row>
    <x:row r="157" ht="42" customHeight="1">
      <x:c r="A157" s="268" t="str">
        <x:v>156</x:v>
      </x:c>
      <x:c r="B157" s="269" t="str">
        <x:v>BRAF/BRAF</x:v>
      </x:c>
      <x:c r="C157" s="269" t="str">
        <x:v>BRAF</x:v>
      </x:c>
      <x:c r="D157" s="269" t="str">
        <x:v>BRAF</x:v>
      </x:c>
      <x:c r="E157" s="269" t="str">
        <x:v>BRAF, BRAF</x:v>
      </x:c>
      <x:c r="F157" s="269" t="str">
        <x:v>HOMO SAPIENS</x:v>
      </x:c>
      <x:c r="G157" s="269" t="str">
        <x:v>Fab</x:v>
      </x:c>
      <x:c r="H157" s="269" t="str">
        <x:v>1</x:v>
      </x:c>
      <x:c r="I157" s="270" t="str">
        <x:v>2FB8</x:v>
      </x:c>
    </x:row>
    <x:row r="158" ht="42" customHeight="1">
      <x:c r="A158" s="268" t="str">
        <x:v>157</x:v>
      </x:c>
      <x:c r="B158" s="269" t="str">
        <x:v>F10/F10</x:v>
      </x:c>
      <x:c r="C158" s="269" t="str">
        <x:v>F10</x:v>
      </x:c>
      <x:c r="D158" s="269" t="str">
        <x:v>F10</x:v>
      </x:c>
      <x:c r="E158" s="269" t="str">
        <x:v>F10, F10</x:v>
      </x:c>
      <x:c r="F158" s="269" t="str">
        <x:v>HOMO SAPIENS</x:v>
      </x:c>
      <x:c r="G158" s="269" t="str">
        <x:v>Fab</x:v>
      </x:c>
      <x:c r="H158" s="269" t="str">
        <x:v>1</x:v>
      </x:c>
      <x:c r="I158" s="270" t="str">
        <x:v>2GD4</x:v>
      </x:c>
    </x:row>
    <x:row r="159" ht="42" customHeight="1">
      <x:c r="A159" s="268" t="str">
        <x:v>158</x:v>
      </x:c>
      <x:c r="B159" s="269" t="str">
        <x:v>IL10/IL10</x:v>
      </x:c>
      <x:c r="C159" s="269" t="str">
        <x:v>IL10</x:v>
      </x:c>
      <x:c r="D159" s="269" t="str">
        <x:v>IL10</x:v>
      </x:c>
      <x:c r="E159" s="269" t="str">
        <x:v>IL10, IL10</x:v>
      </x:c>
      <x:c r="F159" s="269" t="str">
        <x:v>HOMO SAPIENS</x:v>
      </x:c>
      <x:c r="G159" s="269" t="str">
        <x:v>VHH</x:v>
      </x:c>
      <x:c r="H159" s="269" t="str">
        <x:v>1</x:v>
      </x:c>
      <x:c r="I159" s="270" t="str">
        <x:v>2H24</x:v>
      </x:c>
    </x:row>
    <x:row r="160" ht="42" customHeight="1">
      <x:c r="A160" s="268" t="str">
        <x:v>159</x:v>
      </x:c>
      <x:c r="B160" s="269" t="str">
        <x:v>NCAM1/NCAM1</x:v>
      </x:c>
      <x:c r="C160" s="269" t="str">
        <x:v>NCAM1</x:v>
      </x:c>
      <x:c r="D160" s="269" t="str">
        <x:v>NCAM1</x:v>
      </x:c>
      <x:c r="E160" s="269" t="str">
        <x:v>NCAM1, NCAM1</x:v>
      </x:c>
      <x:c r="F160" s="269" t="str">
        <x:v>HOMO SAPIENS</x:v>
      </x:c>
      <x:c r="G160" s="269" t="str">
        <x:v>VHH</x:v>
      </x:c>
      <x:c r="H160" s="269" t="str">
        <x:v>1</x:v>
      </x:c>
      <x:c r="I160" s="270" t="str">
        <x:v>2HAZ</x:v>
      </x:c>
    </x:row>
    <x:row r="161" ht="42" customHeight="1">
      <x:c r="A161" s="268" t="str">
        <x:v>160</x:v>
      </x:c>
      <x:c r="B161" s="269" t="str">
        <x:v>ADK/ADK</x:v>
      </x:c>
      <x:c r="C161" s="269" t="str">
        <x:v>ADK</x:v>
      </x:c>
      <x:c r="D161" s="269" t="str">
        <x:v>ADK</x:v>
      </x:c>
      <x:c r="E161" s="269" t="str">
        <x:v>ADK, ADK</x:v>
      </x:c>
      <x:c r="F161" s="269" t="str">
        <x:v>HOMO SAPIENS</x:v>
      </x:c>
      <x:c r="G161" s="269" t="str">
        <x:v>Fab</x:v>
      </x:c>
      <x:c r="H161" s="269" t="str">
        <x:v>1</x:v>
      </x:c>
      <x:c r="I161" s="270" t="str">
        <x:v>2I6A</x:v>
      </x:c>
    </x:row>
    <x:row r="162" ht="42" customHeight="1">
      <x:c r="A162" s="268" t="str">
        <x:v>161</x:v>
      </x:c>
      <x:c r="B162" s="269" t="str">
        <x:v>MYD88/MYD88</x:v>
      </x:c>
      <x:c r="C162" s="269" t="str">
        <x:v>MYD88</x:v>
      </x:c>
      <x:c r="D162" s="269" t="str">
        <x:v>MYD88</x:v>
      </x:c>
      <x:c r="E162" s="269" t="str">
        <x:v>MYD88, MYD88</x:v>
      </x:c>
      <x:c r="F162" s="269" t="str">
        <x:v>HOMO SAPIENS</x:v>
      </x:c>
      <x:c r="G162" s="269" t="str">
        <x:v>VHH</x:v>
      </x:c>
      <x:c r="H162" s="269" t="str">
        <x:v>1</x:v>
      </x:c>
      <x:c r="I162" s="270" t="str">
        <x:v>2JS7</x:v>
      </x:c>
    </x:row>
    <x:row r="163" ht="42" customHeight="1">
      <x:c r="A163" s="268" t="str">
        <x:v>162</x:v>
      </x:c>
      <x:c r="B163" s="269" t="str">
        <x:v>SCN2A/SCN2A</x:v>
      </x:c>
      <x:c r="C163" s="269" t="str">
        <x:v>SCN2A</x:v>
      </x:c>
      <x:c r="D163" s="269" t="str">
        <x:v>SCN2A</x:v>
      </x:c>
      <x:c r="E163" s="269" t="str">
        <x:v>SCN2A, SCN2A</x:v>
      </x:c>
      <x:c r="F163" s="269" t="str">
        <x:v>HOMO SAPIENS</x:v>
      </x:c>
      <x:c r="G163" s="269" t="str">
        <x:v>VHH</x:v>
      </x:c>
      <x:c r="H163" s="269" t="str">
        <x:v>1</x:v>
      </x:c>
      <x:c r="I163" s="270" t="str">
        <x:v>2KAV</x:v>
      </x:c>
    </x:row>
    <x:row r="164" ht="42" customHeight="1">
      <x:c r="A164" s="268" t="str">
        <x:v>163</x:v>
      </x:c>
      <x:c r="B164" s="269" t="str">
        <x:v>HMGB1/HMGB1</x:v>
      </x:c>
      <x:c r="C164" s="269" t="str">
        <x:v>HMGB1</x:v>
      </x:c>
      <x:c r="D164" s="269" t="str">
        <x:v>HMGB1</x:v>
      </x:c>
      <x:c r="E164" s="269" t="str">
        <x:v>HMGB1, HMGB1</x:v>
      </x:c>
      <x:c r="F164" s="269" t="str">
        <x:v>HOMO SAPIENS</x:v>
      </x:c>
      <x:c r="G164" s="269" t="str">
        <x:v>VHH</x:v>
      </x:c>
      <x:c r="H164" s="269" t="str">
        <x:v>1</x:v>
      </x:c>
      <x:c r="I164" s="270" t="str">
        <x:v>2LY4</x:v>
      </x:c>
    </x:row>
    <x:row r="165" ht="42" customHeight="1">
      <x:c r="A165" s="268" t="str">
        <x:v>164</x:v>
      </x:c>
      <x:c r="B165" s="269" t="str">
        <x:v>SIGLEC8/SIGLEC8</x:v>
      </x:c>
      <x:c r="C165" s="269" t="str">
        <x:v>SIGLEC8</x:v>
      </x:c>
      <x:c r="D165" s="269" t="str">
        <x:v>SIGLEC8</x:v>
      </x:c>
      <x:c r="E165" s="269" t="str">
        <x:v>SIGLEC8, SIGLEC8</x:v>
      </x:c>
      <x:c r="F165" s="269" t="str">
        <x:v>HOMO SAPIENS</x:v>
      </x:c>
      <x:c r="G165" s="269" t="str">
        <x:v>VHH</x:v>
      </x:c>
      <x:c r="H165" s="269" t="str">
        <x:v>1</x:v>
      </x:c>
      <x:c r="I165" s="270" t="str">
        <x:v>2N7B</x:v>
      </x:c>
    </x:row>
    <x:row r="166" ht="42" customHeight="1">
      <x:c r="A166" s="268" t="str">
        <x:v>165</x:v>
      </x:c>
      <x:c r="B166" s="269" t="str">
        <x:v>SERPING1/SERPING1</x:v>
      </x:c>
      <x:c r="C166" s="269" t="str">
        <x:v>SERPING1</x:v>
      </x:c>
      <x:c r="D166" s="269" t="str">
        <x:v>SERPING1</x:v>
      </x:c>
      <x:c r="E166" s="269" t="str">
        <x:v>SERPING1, SERPING1</x:v>
      </x:c>
      <x:c r="F166" s="269" t="str">
        <x:v>HOMO SAPIENS</x:v>
      </x:c>
      <x:c r="G166" s="269" t="str">
        <x:v>Fab</x:v>
      </x:c>
      <x:c r="H166" s="269" t="str">
        <x:v>1</x:v>
      </x:c>
      <x:c r="I166" s="270" t="str">
        <x:v>2OAY</x:v>
      </x:c>
    </x:row>
    <x:row r="167" ht="42" customHeight="1">
      <x:c r="A167" s="268" t="str">
        <x:v>166</x:v>
      </x:c>
      <x:c r="B167" s="269" t="str">
        <x:v>MMP8/MMP8</x:v>
      </x:c>
      <x:c r="C167" s="269" t="str">
        <x:v>MMP8</x:v>
      </x:c>
      <x:c r="D167" s="269" t="str">
        <x:v>MMP8</x:v>
      </x:c>
      <x:c r="E167" s="269" t="str">
        <x:v>MMP8, MMP8</x:v>
      </x:c>
      <x:c r="F167" s="269" t="str">
        <x:v>HOMO SAPIENS</x:v>
      </x:c>
      <x:c r="G167" s="269" t="str">
        <x:v>Fab</x:v>
      </x:c>
      <x:c r="H167" s="269" t="str">
        <x:v>1</x:v>
      </x:c>
      <x:c r="I167" s="270" t="str">
        <x:v>2OY4</x:v>
      </x:c>
    </x:row>
    <x:row r="168" ht="42" customHeight="1">
      <x:c r="A168" s="268" t="str">
        <x:v>167</x:v>
      </x:c>
      <x:c r="B168" s="269" t="str">
        <x:v>SERPINA1/SERPINA1</x:v>
      </x:c>
      <x:c r="C168" s="269" t="str">
        <x:v>SERPINA1</x:v>
      </x:c>
      <x:c r="D168" s="269" t="str">
        <x:v>SERPINA1</x:v>
      </x:c>
      <x:c r="E168" s="269" t="str">
        <x:v>SERPINA1, SERPINA1</x:v>
      </x:c>
      <x:c r="F168" s="269" t="str">
        <x:v>HOMO SAPIENS</x:v>
      </x:c>
      <x:c r="G168" s="269" t="str">
        <x:v>Fab</x:v>
      </x:c>
      <x:c r="H168" s="269" t="str">
        <x:v>1</x:v>
      </x:c>
      <x:c r="I168" s="270" t="str">
        <x:v>2QUG</x:v>
      </x:c>
    </x:row>
    <x:row r="169" ht="42" customHeight="1">
      <x:c r="A169" s="268" t="str">
        <x:v>168</x:v>
      </x:c>
      <x:c r="B169" s="269" t="str">
        <x:v>CD55/CD55</x:v>
      </x:c>
      <x:c r="C169" s="269" t="str">
        <x:v>CD55</x:v>
      </x:c>
      <x:c r="D169" s="269" t="str">
        <x:v>CD55</x:v>
      </x:c>
      <x:c r="E169" s="269" t="str">
        <x:v>CD55, CD55</x:v>
      </x:c>
      <x:c r="F169" s="269" t="str">
        <x:v>HOMO SAPIENS</x:v>
      </x:c>
      <x:c r="G169" s="269" t="str">
        <x:v>VHH</x:v>
      </x:c>
      <x:c r="H169" s="269" t="str">
        <x:v>1</x:v>
      </x:c>
      <x:c r="I169" s="270" t="str">
        <x:v>2QZD</x:v>
      </x:c>
    </x:row>
    <x:row r="170" ht="42" customHeight="1">
      <x:c r="A170" s="268" t="str">
        <x:v>169</x:v>
      </x:c>
      <x:c r="B170" s="269" t="str">
        <x:v>PRSS1/PRSS1</x:v>
      </x:c>
      <x:c r="C170" s="269" t="str">
        <x:v>PRSS1</x:v>
      </x:c>
      <x:c r="D170" s="269" t="str">
        <x:v>PRSS1</x:v>
      </x:c>
      <x:c r="E170" s="269" t="str">
        <x:v>PRSS1, PRSS1</x:v>
      </x:c>
      <x:c r="F170" s="269" t="str">
        <x:v>HOMO SAPIENS</x:v>
      </x:c>
      <x:c r="G170" s="269" t="str">
        <x:v>Fab</x:v>
      </x:c>
      <x:c r="H170" s="269" t="str">
        <x:v>1</x:v>
      </x:c>
      <x:c r="I170" s="270" t="str">
        <x:v>2RA3</x:v>
      </x:c>
    </x:row>
    <x:row r="171" ht="42" customHeight="1">
      <x:c r="A171" s="268" t="str">
        <x:v>170</x:v>
      </x:c>
      <x:c r="B171" s="269" t="str">
        <x:v>REN/REN</x:v>
      </x:c>
      <x:c r="C171" s="269" t="str">
        <x:v>REN</x:v>
      </x:c>
      <x:c r="D171" s="269" t="str">
        <x:v>REN</x:v>
      </x:c>
      <x:c r="E171" s="269" t="str">
        <x:v>REN, REN</x:v>
      </x:c>
      <x:c r="F171" s="269" t="str">
        <x:v>HOMO SAPIENS</x:v>
      </x:c>
      <x:c r="G171" s="269" t="str">
        <x:v>Fab</x:v>
      </x:c>
      <x:c r="H171" s="269" t="str">
        <x:v>1</x:v>
      </x:c>
      <x:c r="I171" s="270" t="str">
        <x:v>2REN</x:v>
      </x:c>
    </x:row>
    <x:row r="172" ht="42" customHeight="1">
      <x:c r="A172" s="268" t="str">
        <x:v>171</x:v>
      </x:c>
      <x:c r="B172" s="269" t="str">
        <x:v>VDR/VDR</x:v>
      </x:c>
      <x:c r="C172" s="269" t="str">
        <x:v>VDR</x:v>
      </x:c>
      <x:c r="D172" s="269" t="str">
        <x:v>VDR</x:v>
      </x:c>
      <x:c r="E172" s="269" t="str">
        <x:v>VDR, VDR</x:v>
      </x:c>
      <x:c r="F172" s="269" t="str">
        <x:v>HOMO SAPIENS</x:v>
      </x:c>
      <x:c r="G172" s="269" t="str">
        <x:v>Fab</x:v>
      </x:c>
      <x:c r="H172" s="269" t="str">
        <x:v>1</x:v>
      </x:c>
      <x:c r="I172" s="270" t="str">
        <x:v>3A78</x:v>
      </x:c>
    </x:row>
    <x:row r="173" ht="42" customHeight="1">
      <x:c r="A173" s="268" t="str">
        <x:v>172</x:v>
      </x:c>
      <x:c r="B173" s="269" t="str">
        <x:v>PTK2B/PTK2B</x:v>
      </x:c>
      <x:c r="C173" s="269" t="str">
        <x:v>PTK2B</x:v>
      </x:c>
      <x:c r="D173" s="269" t="str">
        <x:v>PTK2B</x:v>
      </x:c>
      <x:c r="E173" s="269" t="str">
        <x:v>PTK2B, PTK2B</x:v>
      </x:c>
      <x:c r="F173" s="269" t="str">
        <x:v>HOMO SAPIENS</x:v>
      </x:c>
      <x:c r="G173" s="269" t="str">
        <x:v>Fab</x:v>
      </x:c>
      <x:c r="H173" s="269" t="str">
        <x:v>1</x:v>
      </x:c>
      <x:c r="I173" s="270" t="str">
        <x:v>3CC6</x:v>
      </x:c>
    </x:row>
    <x:row r="174" ht="42" customHeight="1">
      <x:c r="A174" s="268" t="str">
        <x:v>173</x:v>
      </x:c>
      <x:c r="B174" s="269" t="str">
        <x:v>HECTD1/HECTD1</x:v>
      </x:c>
      <x:c r="C174" s="269" t="str">
        <x:v>HECTD1</x:v>
      </x:c>
      <x:c r="D174" s="269" t="str">
        <x:v>HECTD1</x:v>
      </x:c>
      <x:c r="E174" s="269" t="str">
        <x:v>HECTD1, HECTD1</x:v>
      </x:c>
      <x:c r="F174" s="269" t="str">
        <x:v>HOMO SAPIENS</x:v>
      </x:c>
      <x:c r="G174" s="269" t="str">
        <x:v>VHH</x:v>
      </x:c>
      <x:c r="H174" s="269" t="str">
        <x:v>1</x:v>
      </x:c>
      <x:c r="I174" s="270" t="str">
        <x:v>3DKM</x:v>
      </x:c>
    </x:row>
    <x:row r="175" ht="42" customHeight="1">
      <x:c r="A175" s="268" t="str">
        <x:v>174</x:v>
      </x:c>
      <x:c r="B175" s="269" t="str">
        <x:v>JAK1/JAK1</x:v>
      </x:c>
      <x:c r="C175" s="269" t="str">
        <x:v>JAK1</x:v>
      </x:c>
      <x:c r="D175" s="269" t="str">
        <x:v>JAK1</x:v>
      </x:c>
      <x:c r="E175" s="269" t="str">
        <x:v>JAK1, JAK1</x:v>
      </x:c>
      <x:c r="F175" s="269" t="str">
        <x:v>HOMO SAPIENS</x:v>
      </x:c>
      <x:c r="G175" s="269" t="str">
        <x:v>Fab</x:v>
      </x:c>
      <x:c r="H175" s="269" t="str">
        <x:v>1</x:v>
      </x:c>
      <x:c r="I175" s="270" t="str">
        <x:v>3EYG</x:v>
      </x:c>
    </x:row>
    <x:row r="176" ht="42" customHeight="1">
      <x:c r="A176" s="268" t="str">
        <x:v>175</x:v>
      </x:c>
      <x:c r="B176" s="269" t="str">
        <x:v>BMPR2/BMPR2</x:v>
      </x:c>
      <x:c r="C176" s="269" t="str">
        <x:v>BMPR2</x:v>
      </x:c>
      <x:c r="D176" s="269" t="str">
        <x:v>BMPR2</x:v>
      </x:c>
      <x:c r="E176" s="269" t="str">
        <x:v>BMPR2, BMPR2</x:v>
      </x:c>
      <x:c r="F176" s="269" t="str">
        <x:v>HOMO SAPIENS</x:v>
      </x:c>
      <x:c r="G176" s="269" t="str">
        <x:v>Fab</x:v>
      </x:c>
      <x:c r="H176" s="269" t="str">
        <x:v>1</x:v>
      </x:c>
      <x:c r="I176" s="270" t="str">
        <x:v>3G2F</x:v>
      </x:c>
    </x:row>
    <x:row r="177" ht="42" customHeight="1">
      <x:c r="A177" s="268" t="str">
        <x:v>176</x:v>
      </x:c>
      <x:c r="B177" s="269" t="str">
        <x:v>DST/DST</x:v>
      </x:c>
      <x:c r="C177" s="269" t="str">
        <x:v>DST</x:v>
      </x:c>
      <x:c r="D177" s="269" t="str">
        <x:v>DST</x:v>
      </x:c>
      <x:c r="E177" s="269" t="str">
        <x:v>DST, DST</x:v>
      </x:c>
      <x:c r="F177" s="269" t="str">
        <x:v>HOMO SAPIENS</x:v>
      </x:c>
      <x:c r="G177" s="269" t="str">
        <x:v>Fab</x:v>
      </x:c>
      <x:c r="H177" s="269" t="str">
        <x:v>1</x:v>
      </x:c>
      <x:c r="I177" s="270" t="str">
        <x:v>3GJO</x:v>
      </x:c>
    </x:row>
    <x:row r="178" ht="42" customHeight="1">
      <x:c r="A178" s="268" t="str">
        <x:v>177</x:v>
      </x:c>
      <x:c r="B178" s="269" t="str">
        <x:v>THRB/THRB</x:v>
      </x:c>
      <x:c r="C178" s="269" t="str">
        <x:v>THRB</x:v>
      </x:c>
      <x:c r="D178" s="269" t="str">
        <x:v>THRB</x:v>
      </x:c>
      <x:c r="E178" s="269" t="str">
        <x:v>THRB, THRB</x:v>
      </x:c>
      <x:c r="F178" s="269" t="str">
        <x:v>HOMO SAPIENS</x:v>
      </x:c>
      <x:c r="G178" s="269" t="str">
        <x:v>Fab</x:v>
      </x:c>
      <x:c r="H178" s="269" t="str">
        <x:v>1</x:v>
      </x:c>
      <x:c r="I178" s="270" t="str">
        <x:v>3GWS</x:v>
      </x:c>
    </x:row>
    <x:row r="179" ht="42" customHeight="1">
      <x:c r="A179" s="268" t="str">
        <x:v>178</x:v>
      </x:c>
      <x:c r="B179" s="269" t="str">
        <x:v>CHEK2/CHEK2</x:v>
      </x:c>
      <x:c r="C179" s="269" t="str">
        <x:v>CHEK2</x:v>
      </x:c>
      <x:c r="D179" s="269" t="str">
        <x:v>CHEK2</x:v>
      </x:c>
      <x:c r="E179" s="269" t="str">
        <x:v>CHEK2, CHEK2</x:v>
      </x:c>
      <x:c r="F179" s="269" t="str">
        <x:v>HOMO SAPIENS</x:v>
      </x:c>
      <x:c r="G179" s="269" t="str">
        <x:v>Fab</x:v>
      </x:c>
      <x:c r="H179" s="269" t="str">
        <x:v>1</x:v>
      </x:c>
      <x:c r="I179" s="270" t="str">
        <x:v>3I6U</x:v>
      </x:c>
    </x:row>
    <x:row r="180" ht="42" customHeight="1">
      <x:c r="A180" s="268" t="str">
        <x:v>179</x:v>
      </x:c>
      <x:c r="B180" s="269" t="str">
        <x:v>ADA2/ADA2</x:v>
      </x:c>
      <x:c r="C180" s="269" t="str">
        <x:v>ADA2</x:v>
      </x:c>
      <x:c r="D180" s="269" t="str">
        <x:v>ADA2</x:v>
      </x:c>
      <x:c r="E180" s="269" t="str">
        <x:v>ADA2, ADA2</x:v>
      </x:c>
      <x:c r="F180" s="269" t="str">
        <x:v>HOMO SAPIENS</x:v>
      </x:c>
      <x:c r="G180" s="269" t="str">
        <x:v>Fab</x:v>
      </x:c>
      <x:c r="H180" s="269" t="str">
        <x:v>1</x:v>
      </x:c>
      <x:c r="I180" s="270" t="str">
        <x:v>3LGG</x:v>
      </x:c>
    </x:row>
    <x:row r="181" ht="42" customHeight="1">
      <x:c r="A181" s="268" t="str">
        <x:v>180</x:v>
      </x:c>
      <x:c r="B181" s="269" t="str">
        <x:v>ADRB2/ADRB2</x:v>
      </x:c>
      <x:c r="C181" s="269" t="str">
        <x:v>ADRB2</x:v>
      </x:c>
      <x:c r="D181" s="269" t="str">
        <x:v>ADRB2</x:v>
      </x:c>
      <x:c r="E181" s="269" t="str">
        <x:v>ADRB2, ADRB2</x:v>
      </x:c>
      <x:c r="F181" s="269" t="str">
        <x:v>HOMO SAPIENS, ENTEROBACTERIA PHAGE T4</x:v>
      </x:c>
      <x:c r="G181" s="269" t="str">
        <x:v>Fab</x:v>
      </x:c>
      <x:c r="H181" s="269" t="str">
        <x:v>1</x:v>
      </x:c>
      <x:c r="I181" s="270" t="str">
        <x:v>3NY9</x:v>
      </x:c>
    </x:row>
    <x:row r="182" ht="42" customHeight="1">
      <x:c r="A182" s="268" t="str">
        <x:v>181</x:v>
      </x:c>
      <x:c r="B182" s="269" t="str">
        <x:v>RAF1/RAF1</x:v>
      </x:c>
      <x:c r="C182" s="269" t="str">
        <x:v>RAF1</x:v>
      </x:c>
      <x:c r="D182" s="269" t="str">
        <x:v>RAF1</x:v>
      </x:c>
      <x:c r="E182" s="269" t="str">
        <x:v>RAF1, RAF1</x:v>
      </x:c>
      <x:c r="F182" s="269" t="str">
        <x:v>HOMO SAPIENS</x:v>
      </x:c>
      <x:c r="G182" s="269" t="str">
        <x:v>Fab</x:v>
      </x:c>
      <x:c r="H182" s="269" t="str">
        <x:v>1</x:v>
      </x:c>
      <x:c r="I182" s="270" t="str">
        <x:v>3OMV</x:v>
      </x:c>
    </x:row>
    <x:row r="183" ht="42" customHeight="1">
      <x:c r="A183" s="268" t="str">
        <x:v>182</x:v>
      </x:c>
      <x:c r="B183" s="269" t="str">
        <x:v>CTLA4/CTLA4</x:v>
      </x:c>
      <x:c r="C183" s="269" t="str">
        <x:v>CTLA4</x:v>
      </x:c>
      <x:c r="D183" s="269" t="str">
        <x:v>CTLA4</x:v>
      </x:c>
      <x:c r="E183" s="269" t="str">
        <x:v>CTLA4, CTLA4</x:v>
      </x:c>
      <x:c r="F183" s="269" t="str">
        <x:v>HOMO SAPIENS</x:v>
      </x:c>
      <x:c r="G183" s="269" t="str">
        <x:v>Fab</x:v>
      </x:c>
      <x:c r="H183" s="269" t="str">
        <x:v>1</x:v>
      </x:c>
      <x:c r="I183" s="270" t="str">
        <x:v>3OSK</x:v>
      </x:c>
    </x:row>
    <x:row r="184" ht="42" customHeight="1">
      <x:c r="A184" s="268" t="str">
        <x:v>183</x:v>
      </x:c>
      <x:c r="B184" s="269" t="str">
        <x:v>NF1/NF1</x:v>
      </x:c>
      <x:c r="C184" s="269" t="str">
        <x:v>NF1</x:v>
      </x:c>
      <x:c r="D184" s="269" t="str">
        <x:v>NF1</x:v>
      </x:c>
      <x:c r="E184" s="269" t="str">
        <x:v>NF1, NF1</x:v>
      </x:c>
      <x:c r="F184" s="269" t="str">
        <x:v>HOMO SAPIENS</x:v>
      </x:c>
      <x:c r="G184" s="269" t="str">
        <x:v>Fab</x:v>
      </x:c>
      <x:c r="H184" s="269" t="str">
        <x:v>1</x:v>
      </x:c>
      <x:c r="I184" s="270" t="str">
        <x:v>3P7Z</x:v>
      </x:c>
    </x:row>
    <x:row r="185" ht="42" customHeight="1">
      <x:c r="A185" s="268" t="str">
        <x:v>184</x:v>
      </x:c>
      <x:c r="B185" s="269" t="str">
        <x:v>RB1/RB1</x:v>
      </x:c>
      <x:c r="C185" s="269" t="str">
        <x:v>RB1</x:v>
      </x:c>
      <x:c r="D185" s="269" t="str">
        <x:v>RB1</x:v>
      </x:c>
      <x:c r="E185" s="269" t="str">
        <x:v>RB1, RB1</x:v>
      </x:c>
      <x:c r="F185" s="269" t="str">
        <x:v>HOMO SAPIENS</x:v>
      </x:c>
      <x:c r="G185" s="269" t="str">
        <x:v>Fab</x:v>
      </x:c>
      <x:c r="H185" s="269" t="str">
        <x:v>1</x:v>
      </x:c>
      <x:c r="I185" s="270" t="str">
        <x:v>3POM</x:v>
      </x:c>
    </x:row>
    <x:row r="186" ht="42" customHeight="1">
      <x:c r="A186" s="268" t="str">
        <x:v>185</x:v>
      </x:c>
      <x:c r="B186" s="269" t="str">
        <x:v>CALR/CALR</x:v>
      </x:c>
      <x:c r="C186" s="269" t="str">
        <x:v>CALR</x:v>
      </x:c>
      <x:c r="D186" s="269" t="str">
        <x:v>CALR</x:v>
      </x:c>
      <x:c r="E186" s="269" t="str">
        <x:v>CALR, CALR</x:v>
      </x:c>
      <x:c r="F186" s="269" t="str">
        <x:v>HOMO SAPIENS</x:v>
      </x:c>
      <x:c r="G186" s="269" t="str">
        <x:v>Fab</x:v>
      </x:c>
      <x:c r="H186" s="269" t="str">
        <x:v>1</x:v>
      </x:c>
      <x:c r="I186" s="270" t="str">
        <x:v>3POW</x:v>
      </x:c>
    </x:row>
    <x:row r="187" ht="42" customHeight="1">
      <x:c r="A187" s="268" t="str">
        <x:v>186</x:v>
      </x:c>
      <x:c r="B187" s="269" t="str">
        <x:v>VAMP2/VAMP2</x:v>
      </x:c>
      <x:c r="C187" s="269" t="str">
        <x:v>VAMP2</x:v>
      </x:c>
      <x:c r="D187" s="269" t="str">
        <x:v>VAMP2</x:v>
      </x:c>
      <x:c r="E187" s="269" t="str">
        <x:v>VAMP2, VAMP2</x:v>
      </x:c>
      <x:c r="F187" s="269" t="str">
        <x:v>HOMO SAPIENS</x:v>
      </x:c>
      <x:c r="G187" s="269" t="str">
        <x:v>VHH</x:v>
      </x:c>
      <x:c r="H187" s="269" t="str">
        <x:v>1</x:v>
      </x:c>
      <x:c r="I187" s="270" t="str">
        <x:v>3RK2</x:v>
      </x:c>
    </x:row>
    <x:row r="188" ht="42" customHeight="1">
      <x:c r="A188" s="268" t="str">
        <x:v>187</x:v>
      </x:c>
      <x:c r="B188" s="269" t="str">
        <x:v>NKX2-5/NKX2-5</x:v>
      </x:c>
      <x:c r="C188" s="269" t="str">
        <x:v>NKX2-5</x:v>
      </x:c>
      <x:c r="D188" s="269" t="str">
        <x:v>NKX2-5</x:v>
      </x:c>
      <x:c r="E188" s="269" t="str">
        <x:v>NKX2-5, NKX2-5</x:v>
      </x:c>
      <x:c r="F188" s="269" t="str">
        <x:v>HOMO SAPIENS</x:v>
      </x:c>
      <x:c r="G188" s="269" t="str">
        <x:v>VHH</x:v>
      </x:c>
      <x:c r="H188" s="269" t="str">
        <x:v>1</x:v>
      </x:c>
      <x:c r="I188" s="270" t="str">
        <x:v>3RKQ</x:v>
      </x:c>
    </x:row>
    <x:row r="189" ht="42" customHeight="1">
      <x:c r="A189" s="268" t="str">
        <x:v>188</x:v>
      </x:c>
      <x:c r="B189" s="269" t="str">
        <x:v>MMP1/MMP1</x:v>
      </x:c>
      <x:c r="C189" s="269" t="str">
        <x:v>MMP1</x:v>
      </x:c>
      <x:c r="D189" s="269" t="str">
        <x:v>MMP1</x:v>
      </x:c>
      <x:c r="E189" s="269" t="str">
        <x:v>MMP1, MMP1</x:v>
      </x:c>
      <x:c r="F189" s="269" t="str">
        <x:v>HOMO SAPIENS</x:v>
      </x:c>
      <x:c r="G189" s="269" t="str">
        <x:v>Fab</x:v>
      </x:c>
      <x:c r="H189" s="269" t="str">
        <x:v>1</x:v>
      </x:c>
      <x:c r="I189" s="270" t="str">
        <x:v>3SHI</x:v>
      </x:c>
    </x:row>
    <x:row r="190" ht="42" customHeight="1">
      <x:c r="A190" s="268" t="str">
        <x:v>189</x:v>
      </x:c>
      <x:c r="B190" s="269" t="str">
        <x:v>IL21/IL21</x:v>
      </x:c>
      <x:c r="C190" s="269" t="str">
        <x:v>IL21</x:v>
      </x:c>
      <x:c r="D190" s="269" t="str">
        <x:v>IL21</x:v>
      </x:c>
      <x:c r="E190" s="269" t="str">
        <x:v>IL21, IL21</x:v>
      </x:c>
      <x:c r="F190" s="269" t="str">
        <x:v>HOMO SAPIENS</x:v>
      </x:c>
      <x:c r="G190" s="269" t="str">
        <x:v>Fab</x:v>
      </x:c>
      <x:c r="H190" s="269" t="str">
        <x:v>1</x:v>
      </x:c>
      <x:c r="I190" s="270" t="str">
        <x:v>3TGX</x:v>
      </x:c>
    </x:row>
    <x:row r="191" ht="42" customHeight="1">
      <x:c r="A191" s="268" t="str">
        <x:v>190</x:v>
      </x:c>
      <x:c r="B191" s="269" t="str">
        <x:v>PKP2/PKP2</x:v>
      </x:c>
      <x:c r="C191" s="269" t="str">
        <x:v>PKP2</x:v>
      </x:c>
      <x:c r="D191" s="269" t="str">
        <x:v>PKP2</x:v>
      </x:c>
      <x:c r="E191" s="269" t="str">
        <x:v>PKP2, PKP2</x:v>
      </x:c>
      <x:c r="F191" s="269" t="str">
        <x:v>HOMO SAPIENS</x:v>
      </x:c>
      <x:c r="G191" s="269" t="str">
        <x:v>Fab</x:v>
      </x:c>
      <x:c r="H191" s="269" t="str">
        <x:v>1</x:v>
      </x:c>
      <x:c r="I191" s="270" t="str">
        <x:v>3TT9</x:v>
      </x:c>
    </x:row>
    <x:row r="192" ht="42" customHeight="1">
      <x:c r="A192" s="268" t="str">
        <x:v>191</x:v>
      </x:c>
      <x:c r="B192" s="269" t="str">
        <x:v>F2 / thrombin/F2</x:v>
      </x:c>
      <x:c r="C192" s="269" t="str">
        <x:v>F2 / thrombin</x:v>
      </x:c>
      <x:c r="D192" s="269" t="str">
        <x:v>F2</x:v>
      </x:c>
      <x:c r="E192" s="269" t="str">
        <x:v>F2, F2 / thrombin</x:v>
      </x:c>
      <x:c r="F192" s="269" t="str">
        <x:v>HOMO SAPIENS</x:v>
      </x:c>
      <x:c r="G192" s="269" t="str">
        <x:v>Fab</x:v>
      </x:c>
      <x:c r="H192" s="269" t="str">
        <x:v>1</x:v>
      </x:c>
      <x:c r="I192" s="270" t="str">
        <x:v>3U69</x:v>
      </x:c>
    </x:row>
    <x:row r="193" ht="42" customHeight="1">
      <x:c r="A193" s="268" t="str">
        <x:v>192</x:v>
      </x:c>
      <x:c r="B193" s="269" t="str">
        <x:v>MEN1/MEN1</x:v>
      </x:c>
      <x:c r="C193" s="269" t="str">
        <x:v>MEN1</x:v>
      </x:c>
      <x:c r="D193" s="269" t="str">
        <x:v>MEN1</x:v>
      </x:c>
      <x:c r="E193" s="269" t="str">
        <x:v>MEN1, MEN1</x:v>
      </x:c>
      <x:c r="F193" s="269" t="str">
        <x:v>HOMO SAPIENS</x:v>
      </x:c>
      <x:c r="G193" s="269" t="str">
        <x:v>Fab</x:v>
      </x:c>
      <x:c r="H193" s="269" t="str">
        <x:v>1</x:v>
      </x:c>
      <x:c r="I193" s="270" t="str">
        <x:v>3U84</x:v>
      </x:c>
    </x:row>
    <x:row r="194" ht="42" customHeight="1">
      <x:c r="A194" s="268" t="str">
        <x:v>193</x:v>
      </x:c>
      <x:c r="B194" s="269" t="str">
        <x:v>CHRM2/CHRM2</x:v>
      </x:c>
      <x:c r="C194" s="269" t="str">
        <x:v>CHRM2</x:v>
      </x:c>
      <x:c r="D194" s="269" t="str">
        <x:v>CHRM2</x:v>
      </x:c>
      <x:c r="E194" s="269" t="str">
        <x:v>CHRM2, CHRM2</x:v>
      </x:c>
      <x:c r="F194" s="269" t="str">
        <x:v>HOMO SAPIENS, ENTEROBACTERIA PHAGE T4</x:v>
      </x:c>
      <x:c r="G194" s="269" t="str">
        <x:v>Fab</x:v>
      </x:c>
      <x:c r="H194" s="269" t="str">
        <x:v>1</x:v>
      </x:c>
      <x:c r="I194" s="270" t="str">
        <x:v>3UON</x:v>
      </x:c>
    </x:row>
    <x:row r="195" ht="42" customHeight="1">
      <x:c r="A195" s="268" t="str">
        <x:v>194</x:v>
      </x:c>
      <x:c r="B195" s="269" t="str">
        <x:v>FLCN/FLCN</x:v>
      </x:c>
      <x:c r="C195" s="269" t="str">
        <x:v>FLCN</x:v>
      </x:c>
      <x:c r="D195" s="269" t="str">
        <x:v>FLCN</x:v>
      </x:c>
      <x:c r="E195" s="269" t="str">
        <x:v>FLCN, FLCN</x:v>
      </x:c>
      <x:c r="F195" s="269" t="str">
        <x:v>HOMO SAPIENS</x:v>
      </x:c>
      <x:c r="G195" s="269" t="str">
        <x:v>Fab</x:v>
      </x:c>
      <x:c r="H195" s="269" t="str">
        <x:v>1</x:v>
      </x:c>
      <x:c r="I195" s="270" t="str">
        <x:v>3V42</x:v>
      </x:c>
    </x:row>
    <x:row r="196" ht="42" customHeight="1">
      <x:c r="A196" s="268" t="str">
        <x:v>195</x:v>
      </x:c>
      <x:c r="B196" s="269" t="str">
        <x:v>IL18/IL18</x:v>
      </x:c>
      <x:c r="C196" s="269" t="str">
        <x:v>IL18</x:v>
      </x:c>
      <x:c r="D196" s="269" t="str">
        <x:v>IL18</x:v>
      </x:c>
      <x:c r="E196" s="269" t="str">
        <x:v>IL18, IL18</x:v>
      </x:c>
      <x:c r="F196" s="269" t="str">
        <x:v>HOMO SAPIENS</x:v>
      </x:c>
      <x:c r="G196" s="269" t="str">
        <x:v>Fab</x:v>
      </x:c>
      <x:c r="H196" s="269" t="str">
        <x:v>1</x:v>
      </x:c>
      <x:c r="I196" s="270" t="str">
        <x:v>3WO2</x:v>
      </x:c>
    </x:row>
    <x:row r="197" ht="42" customHeight="1">
      <x:c r="A197" s="268" t="str">
        <x:v>196</x:v>
      </x:c>
      <x:c r="B197" s="269" t="str">
        <x:v>GABRB3/GABRB3</x:v>
      </x:c>
      <x:c r="C197" s="269" t="str">
        <x:v>GABRB3</x:v>
      </x:c>
      <x:c r="D197" s="269" t="str">
        <x:v>GABRB3</x:v>
      </x:c>
      <x:c r="E197" s="269" t="str">
        <x:v>GABRB3, GABRB3</x:v>
      </x:c>
      <x:c r="F197" s="269" t="str">
        <x:v>HOMO SAPIENS</x:v>
      </x:c>
      <x:c r="G197" s="269" t="str">
        <x:v>Fab</x:v>
      </x:c>
      <x:c r="H197" s="269" t="str">
        <x:v>1</x:v>
      </x:c>
      <x:c r="I197" s="270" t="str">
        <x:v>4COF</x:v>
      </x:c>
    </x:row>
    <x:row r="198" ht="42" customHeight="1">
      <x:c r="A198" s="268" t="str">
        <x:v>197</x:v>
      </x:c>
      <x:c r="B198" s="269" t="str">
        <x:v>FTO/FTO</x:v>
      </x:c>
      <x:c r="C198" s="269" t="str">
        <x:v>FTO</x:v>
      </x:c>
      <x:c r="D198" s="269" t="str">
        <x:v>FTO</x:v>
      </x:c>
      <x:c r="E198" s="269" t="str">
        <x:v>FTO, FTO</x:v>
      </x:c>
      <x:c r="F198" s="269" t="str">
        <x:v>HOMO SAPIENS</x:v>
      </x:c>
      <x:c r="G198" s="269" t="str">
        <x:v>Fab</x:v>
      </x:c>
      <x:c r="H198" s="269" t="str">
        <x:v>1</x:v>
      </x:c>
      <x:c r="I198" s="270" t="str">
        <x:v>4CXW</x:v>
      </x:c>
    </x:row>
    <x:row r="199" ht="42" customHeight="1">
      <x:c r="A199" s="268" t="str">
        <x:v>198</x:v>
      </x:c>
      <x:c r="B199" s="269" t="str">
        <x:v>FGFR1/FGFR1</x:v>
      </x:c>
      <x:c r="C199" s="269" t="str">
        <x:v>FGFR1</x:v>
      </x:c>
      <x:c r="D199" s="269" t="str">
        <x:v>FGFR1</x:v>
      </x:c>
      <x:c r="E199" s="269" t="str">
        <x:v>FGFR1, FGFR1</x:v>
      </x:c>
      <x:c r="F199" s="269" t="str">
        <x:v>HOMO SAPIENS</x:v>
      </x:c>
      <x:c r="G199" s="269" t="str">
        <x:v>Fab</x:v>
      </x:c>
      <x:c r="H199" s="269" t="str">
        <x:v>1</x:v>
      </x:c>
      <x:c r="I199" s="270" t="str">
        <x:v>4F64</x:v>
      </x:c>
    </x:row>
    <x:row r="200" ht="42" customHeight="1">
      <x:c r="A200" s="268" t="str">
        <x:v>199</x:v>
      </x:c>
      <x:c r="B200" s="269" t="str">
        <x:v>TOP2A/TOP2A</x:v>
      </x:c>
      <x:c r="C200" s="269" t="str">
        <x:v>TOP2A</x:v>
      </x:c>
      <x:c r="D200" s="269" t="str">
        <x:v>TOP2A</x:v>
      </x:c>
      <x:c r="E200" s="269" t="str">
        <x:v>TOP2A, TOP2A</x:v>
      </x:c>
      <x:c r="F200" s="269" t="str">
        <x:v>HOMO SAPIENS</x:v>
      </x:c>
      <x:c r="G200" s="269" t="str">
        <x:v>Fab</x:v>
      </x:c>
      <x:c r="H200" s="269" t="str">
        <x:v>1</x:v>
      </x:c>
      <x:c r="I200" s="270" t="str">
        <x:v>4FM9</x:v>
      </x:c>
    </x:row>
    <x:row r="201" ht="42" customHeight="1">
      <x:c r="A201" s="268" t="str">
        <x:v>200</x:v>
      </x:c>
      <x:c r="B201" s="269" t="str">
        <x:v>MMP13/MMP13</x:v>
      </x:c>
      <x:c r="C201" s="269" t="str">
        <x:v>MMP13</x:v>
      </x:c>
      <x:c r="D201" s="269" t="str">
        <x:v>MMP13</x:v>
      </x:c>
      <x:c r="E201" s="269" t="str">
        <x:v>MMP13, MMP13</x:v>
      </x:c>
      <x:c r="F201" s="269" t="str">
        <x:v>HOMO SAPIENS</x:v>
      </x:c>
      <x:c r="G201" s="269" t="str">
        <x:v>Fab</x:v>
      </x:c>
      <x:c r="H201" s="269" t="str">
        <x:v>1</x:v>
      </x:c>
      <x:c r="I201" s="270" t="str">
        <x:v>4FU4</x:v>
      </x:c>
    </x:row>
    <x:row r="202" ht="42" customHeight="1">
      <x:c r="A202" s="268" t="str">
        <x:v>201</x:v>
      </x:c>
      <x:c r="B202" s="269" t="str">
        <x:v>HBB/HBB</x:v>
      </x:c>
      <x:c r="C202" s="269" t="str">
        <x:v>HBB</x:v>
      </x:c>
      <x:c r="D202" s="269" t="str">
        <x:v>HBB</x:v>
      </x:c>
      <x:c r="E202" s="269" t="str">
        <x:v>HBB, HBB</x:v>
      </x:c>
      <x:c r="F202" s="269" t="str">
        <x:v>HOMO SAPIENS</x:v>
      </x:c>
      <x:c r="G202" s="269" t="str">
        <x:v>Fab</x:v>
      </x:c>
      <x:c r="H202" s="269" t="str">
        <x:v>1</x:v>
      </x:c>
      <x:c r="I202" s="270" t="str">
        <x:v>4HHB</x:v>
      </x:c>
    </x:row>
    <x:row r="203" ht="42" customHeight="1">
      <x:c r="A203" s="268" t="str">
        <x:v>202</x:v>
      </x:c>
      <x:c r="B203" s="269" t="str">
        <x:v>IL17A/IL17A</x:v>
      </x:c>
      <x:c r="C203" s="269" t="str">
        <x:v>IL17A</x:v>
      </x:c>
      <x:c r="D203" s="269" t="str">
        <x:v>IL17A</x:v>
      </x:c>
      <x:c r="E203" s="269" t="str">
        <x:v>IL17A, IL17A</x:v>
      </x:c>
      <x:c r="F203" s="269" t="str">
        <x:v>HOMO SAPIENS</x:v>
      </x:c>
      <x:c r="G203" s="269" t="str">
        <x:v>VHH</x:v>
      </x:c>
      <x:c r="H203" s="269" t="str">
        <x:v>1</x:v>
      </x:c>
      <x:c r="I203" s="270" t="str">
        <x:v>4HR9</x:v>
      </x:c>
    </x:row>
    <x:row r="204" ht="42" customHeight="1">
      <x:c r="A204" s="268" t="str">
        <x:v>203</x:v>
      </x:c>
      <x:c r="B204" s="269" t="str">
        <x:v>OAS1/OAS1</x:v>
      </x:c>
      <x:c r="C204" s="269" t="str">
        <x:v>OAS1</x:v>
      </x:c>
      <x:c r="D204" s="269" t="str">
        <x:v>OAS1</x:v>
      </x:c>
      <x:c r="E204" s="269" t="str">
        <x:v>OAS1, OAS1</x:v>
      </x:c>
      <x:c r="F204" s="269" t="str">
        <x:v>HOMO SAPIENS</x:v>
      </x:c>
      <x:c r="G204" s="269" t="str">
        <x:v>Fab</x:v>
      </x:c>
      <x:c r="H204" s="269" t="str">
        <x:v>1</x:v>
      </x:c>
      <x:c r="I204" s="270" t="str">
        <x:v>4IG8</x:v>
      </x:c>
    </x:row>
    <x:row r="205" ht="42" customHeight="1">
      <x:c r="A205" s="268" t="str">
        <x:v>204</x:v>
      </x:c>
      <x:c r="B205" s="269" t="str">
        <x:v>GRIK1/GRIK1</x:v>
      </x:c>
      <x:c r="C205" s="269" t="str">
        <x:v>GRIK1</x:v>
      </x:c>
      <x:c r="D205" s="269" t="str">
        <x:v>GRIK1</x:v>
      </x:c>
      <x:c r="E205" s="269" t="str">
        <x:v>GRIK1, GRIK1</x:v>
      </x:c>
      <x:c r="F205" s="269" t="str">
        <x:v>HOMO SAPIENS</x:v>
      </x:c>
      <x:c r="G205" s="269" t="str">
        <x:v>Fab</x:v>
      </x:c>
      <x:c r="H205" s="269" t="str">
        <x:v>1</x:v>
      </x:c>
      <x:c r="I205" s="270" t="str">
        <x:v>4MF3</x:v>
      </x:c>
    </x:row>
    <x:row r="206" ht="42" customHeight="1">
      <x:c r="A206" s="268" t="str">
        <x:v>205</x:v>
      </x:c>
      <x:c r="B206" s="269" t="str">
        <x:v>FCGRT / FcRn/FCGRT</x:v>
      </x:c>
      <x:c r="C206" s="269" t="str">
        <x:v>FCGRT / FcRn</x:v>
      </x:c>
      <x:c r="D206" s="269" t="str">
        <x:v>FCGRT</x:v>
      </x:c>
      <x:c r="E206" s="269" t="str">
        <x:v>FCGRT, FCGRT / FcRn</x:v>
      </x:c>
      <x:c r="F206" s="269" t="str">
        <x:v>HOMO SAPIENS</x:v>
      </x:c>
      <x:c r="G206" s="269" t="str">
        <x:v>VHH</x:v>
      </x:c>
      <x:c r="H206" s="269" t="str">
        <x:v>1</x:v>
      </x:c>
      <x:c r="I206" s="270" t="str">
        <x:v>4N0U</x:v>
      </x:c>
    </x:row>
    <x:row r="207" ht="42" customHeight="1">
      <x:c r="A207" s="268" t="str">
        <x:v>206</x:v>
      </x:c>
      <x:c r="B207" s="269" t="str">
        <x:v>KRAS/KRAS</x:v>
      </x:c>
      <x:c r="C207" s="269" t="str">
        <x:v>KRAS</x:v>
      </x:c>
      <x:c r="D207" s="269" t="str">
        <x:v>KRAS</x:v>
      </x:c>
      <x:c r="E207" s="269" t="str">
        <x:v>KRAS, KRAS</x:v>
      </x:c>
      <x:c r="F207" s="269" t="str">
        <x:v>HOMO SAPIENS</x:v>
      </x:c>
      <x:c r="G207" s="269" t="str">
        <x:v>Fab</x:v>
      </x:c>
      <x:c r="H207" s="269" t="str">
        <x:v>1</x:v>
      </x:c>
      <x:c r="I207" s="270" t="str">
        <x:v>4OBE</x:v>
      </x:c>
    </x:row>
    <x:row r="208" ht="42" customHeight="1">
      <x:c r="A208" s="268" t="str">
        <x:v>207</x:v>
      </x:c>
      <x:c r="B208" s="269" t="str">
        <x:v>NR3C1/NR3C1</x:v>
      </x:c>
      <x:c r="C208" s="269" t="str">
        <x:v>NR3C1</x:v>
      </x:c>
      <x:c r="D208" s="269" t="str">
        <x:v>NR3C1</x:v>
      </x:c>
      <x:c r="E208" s="269" t="str">
        <x:v>NR3C1, NR3C1</x:v>
      </x:c>
      <x:c r="F208" s="269" t="str">
        <x:v>HOMO SAPIENS</x:v>
      </x:c>
      <x:c r="G208" s="269" t="str">
        <x:v>Fab</x:v>
      </x:c>
      <x:c r="H208" s="269" t="str">
        <x:v>1</x:v>
      </x:c>
      <x:c r="I208" s="270" t="str">
        <x:v>4P6X</x:v>
      </x:c>
    </x:row>
    <x:row r="209" ht="42" customHeight="1">
      <x:c r="A209" s="268" t="str">
        <x:v>208</x:v>
      </x:c>
      <x:c r="B209" s="269" t="str">
        <x:v>STAG2/STAG2</x:v>
      </x:c>
      <x:c r="C209" s="269" t="str">
        <x:v>STAG2</x:v>
      </x:c>
      <x:c r="D209" s="269" t="str">
        <x:v>STAG2</x:v>
      </x:c>
      <x:c r="E209" s="269" t="str">
        <x:v>STAG2, STAG2</x:v>
      </x:c>
      <x:c r="F209" s="269" t="str">
        <x:v>HOMO SAPIENS</x:v>
      </x:c>
      <x:c r="G209" s="269" t="str">
        <x:v>Fab</x:v>
      </x:c>
      <x:c r="H209" s="269" t="str">
        <x:v>1</x:v>
      </x:c>
      <x:c r="I209" s="270" t="str">
        <x:v>4PK7</x:v>
      </x:c>
    </x:row>
    <x:row r="210" ht="42" customHeight="1">
      <x:c r="A210" s="268" t="str">
        <x:v>209</x:v>
      </x:c>
      <x:c r="B210" s="269" t="str">
        <x:v>AXL/AXL</x:v>
      </x:c>
      <x:c r="C210" s="269" t="str">
        <x:v>AXL</x:v>
      </x:c>
      <x:c r="D210" s="269" t="str">
        <x:v>AXL</x:v>
      </x:c>
      <x:c r="E210" s="269" t="str">
        <x:v>AXL, AXL</x:v>
      </x:c>
      <x:c r="F210" s="269" t="str">
        <x:v>HOMO SAPIENS</x:v>
      </x:c>
      <x:c r="G210" s="269" t="str">
        <x:v>Fab</x:v>
      </x:c>
      <x:c r="H210" s="269" t="str">
        <x:v>1</x:v>
      </x:c>
      <x:c r="I210" s="270" t="str">
        <x:v>4RA0</x:v>
      </x:c>
    </x:row>
    <x:row r="211" ht="42" customHeight="1">
      <x:c r="A211" s="268" t="str">
        <x:v>210</x:v>
      </x:c>
      <x:c r="B211" s="269" t="str">
        <x:v>RET/RET</x:v>
      </x:c>
      <x:c r="C211" s="269" t="str">
        <x:v>RET</x:v>
      </x:c>
      <x:c r="D211" s="269" t="str">
        <x:v>RET</x:v>
      </x:c>
      <x:c r="E211" s="269" t="str">
        <x:v>RET, RET</x:v>
      </x:c>
      <x:c r="F211" s="269" t="str">
        <x:v>HOMO SAPIENS</x:v>
      </x:c>
      <x:c r="G211" s="269" t="str">
        <x:v>Fab</x:v>
      </x:c>
      <x:c r="H211" s="269" t="str">
        <x:v>1</x:v>
      </x:c>
      <x:c r="I211" s="270" t="str">
        <x:v>4UX8</x:v>
      </x:c>
    </x:row>
    <x:row r="212" ht="42" customHeight="1">
      <x:c r="A212" s="268" t="str">
        <x:v>211</x:v>
      </x:c>
      <x:c r="B212" s="269" t="str">
        <x:v>MYOC/MYOC</x:v>
      </x:c>
      <x:c r="C212" s="269" t="str">
        <x:v>MYOC</x:v>
      </x:c>
      <x:c r="D212" s="269" t="str">
        <x:v>MYOC</x:v>
      </x:c>
      <x:c r="E212" s="269" t="str">
        <x:v>MYOC, MYOC</x:v>
      </x:c>
      <x:c r="F212" s="269" t="str">
        <x:v>HOMO SAPIENS</x:v>
      </x:c>
      <x:c r="G212" s="269" t="str">
        <x:v>Fab</x:v>
      </x:c>
      <x:c r="H212" s="269" t="str">
        <x:v>1</x:v>
      </x:c>
      <x:c r="I212" s="270" t="str">
        <x:v>4WXQ</x:v>
      </x:c>
    </x:row>
    <x:row r="213" ht="42" customHeight="1">
      <x:c r="A213" s="268" t="str">
        <x:v>212</x:v>
      </x:c>
      <x:c r="B213" s="269" t="str">
        <x:v>AGTR1/AGTR1</x:v>
      </x:c>
      <x:c r="C213" s="269" t="str">
        <x:v>AGTR1</x:v>
      </x:c>
      <x:c r="D213" s="269" t="str">
        <x:v>AGTR1</x:v>
      </x:c>
      <x:c r="E213" s="269" t="str">
        <x:v>AGTR1, AGTR1</x:v>
      </x:c>
      <x:c r="F213" s="269" t="str">
        <x:v>ESCHERICHIA COLI, HOMO SAPIENS</x:v>
      </x:c>
      <x:c r="G213" s="269" t="str">
        <x:v>Fab</x:v>
      </x:c>
      <x:c r="H213" s="269" t="str">
        <x:v>1</x:v>
      </x:c>
      <x:c r="I213" s="270" t="str">
        <x:v>4YAY</x:v>
      </x:c>
    </x:row>
    <x:row r="214" ht="42" customHeight="1">
      <x:c r="A214" s="268" t="str">
        <x:v>213</x:v>
      </x:c>
      <x:c r="B214" s="269" t="str">
        <x:v>ODC1/ODC1</x:v>
      </x:c>
      <x:c r="C214" s="269" t="str">
        <x:v>ODC1</x:v>
      </x:c>
      <x:c r="D214" s="269" t="str">
        <x:v>ODC1</x:v>
      </x:c>
      <x:c r="E214" s="269" t="str">
        <x:v>ODC1, ODC1</x:v>
      </x:c>
      <x:c r="F214" s="269" t="str">
        <x:v>HOMO SAPIENS</x:v>
      </x:c>
      <x:c r="G214" s="269" t="str">
        <x:v>Fab</x:v>
      </x:c>
      <x:c r="H214" s="269" t="str">
        <x:v>1</x:v>
      </x:c>
      <x:c r="I214" s="270" t="str">
        <x:v>4ZGY</x:v>
      </x:c>
    </x:row>
    <x:row r="215" ht="42" customHeight="1">
      <x:c r="A215" s="268" t="str">
        <x:v>214</x:v>
      </x:c>
      <x:c r="B215" s="269" t="str">
        <x:v>KRT10/KRT10</x:v>
      </x:c>
      <x:c r="C215" s="269" t="str">
        <x:v>KRT10</x:v>
      </x:c>
      <x:c r="D215" s="269" t="str">
        <x:v>KRT10</x:v>
      </x:c>
      <x:c r="E215" s="269" t="str">
        <x:v>KRT10, KRT10</x:v>
      </x:c>
      <x:c r="F215" s="269" t="str">
        <x:v>HOMO SAPIENS</x:v>
      </x:c>
      <x:c r="G215" s="269" t="str">
        <x:v>VHH</x:v>
      </x:c>
      <x:c r="H215" s="269" t="str">
        <x:v>1</x:v>
      </x:c>
      <x:c r="I215" s="270" t="str">
        <x:v>4ZRY</x:v>
      </x:c>
    </x:row>
    <x:row r="216" ht="42" customHeight="1">
      <x:c r="A216" s="268" t="str">
        <x:v>215</x:v>
      </x:c>
      <x:c r="B216" s="269" t="str">
        <x:v>IDH1/IDH1</x:v>
      </x:c>
      <x:c r="C216" s="269" t="str">
        <x:v>IDH1</x:v>
      </x:c>
      <x:c r="D216" s="269" t="str">
        <x:v>IDH1</x:v>
      </x:c>
      <x:c r="E216" s="269" t="str">
        <x:v>IDH1, IDH1</x:v>
      </x:c>
      <x:c r="F216" s="269" t="str">
        <x:v>HOMO SAPIENS</x:v>
      </x:c>
      <x:c r="G216" s="269" t="str">
        <x:v>Fab</x:v>
      </x:c>
      <x:c r="H216" s="269" t="str">
        <x:v>1</x:v>
      </x:c>
      <x:c r="I216" s="270" t="str">
        <x:v>5DE1</x:v>
      </x:c>
    </x:row>
    <x:row r="217" ht="42" customHeight="1">
      <x:c r="A217" s="268" t="str">
        <x:v>216</x:v>
      </x:c>
      <x:c r="B217" s="269" t="str">
        <x:v>PTGS2/PTGS2</x:v>
      </x:c>
      <x:c r="C217" s="269" t="str">
        <x:v>PTGS2</x:v>
      </x:c>
      <x:c r="D217" s="269" t="str">
        <x:v>PTGS2</x:v>
      </x:c>
      <x:c r="E217" s="269" t="str">
        <x:v>PTGS2, PTGS2</x:v>
      </x:c>
      <x:c r="F217" s="269" t="str">
        <x:v>HOMO SAPIENS</x:v>
      </x:c>
      <x:c r="G217" s="269" t="str">
        <x:v>Fab</x:v>
      </x:c>
      <x:c r="H217" s="269" t="str">
        <x:v>1</x:v>
      </x:c>
      <x:c r="I217" s="270" t="str">
        <x:v>5F19</x:v>
      </x:c>
    </x:row>
    <x:row r="218" ht="42" customHeight="1">
      <x:c r="A218" s="268" t="str">
        <x:v>217</x:v>
      </x:c>
      <x:c r="B218" s="269" t="str">
        <x:v>SLC6A4 / SERT/SLC6A4</x:v>
      </x:c>
      <x:c r="C218" s="269" t="str">
        <x:v>SLC6A4 / SERT</x:v>
      </x:c>
      <x:c r="D218" s="269" t="str">
        <x:v>SLC6A4</x:v>
      </x:c>
      <x:c r="E218" s="269" t="str">
        <x:v>SLC6A4, SLC6A4 / SERT</x:v>
      </x:c>
      <x:c r="F218" s="269" t="str">
        <x:v>HOMO SAPIENS</x:v>
      </x:c>
      <x:c r="G218" s="269" t="str">
        <x:v>Fab</x:v>
      </x:c>
      <x:c r="H218" s="269" t="str">
        <x:v>1</x:v>
      </x:c>
      <x:c r="I218" s="270" t="str">
        <x:v>5I75</x:v>
      </x:c>
    </x:row>
    <x:row r="219" ht="42" customHeight="1">
      <x:c r="A219" s="268" t="str">
        <x:v>218</x:v>
      </x:c>
      <x:c r="B219" s="269" t="str">
        <x:v>GAA/GAA</x:v>
      </x:c>
      <x:c r="C219" s="269" t="str">
        <x:v>GAA</x:v>
      </x:c>
      <x:c r="D219" s="269" t="str">
        <x:v>GAA</x:v>
      </x:c>
      <x:c r="E219" s="269" t="str">
        <x:v>GAA, GAA</x:v>
      </x:c>
      <x:c r="F219" s="269" t="str">
        <x:v>HOMO SAPIENS</x:v>
      </x:c>
      <x:c r="G219" s="269" t="str">
        <x:v>Fab</x:v>
      </x:c>
      <x:c r="H219" s="269" t="str">
        <x:v>1</x:v>
      </x:c>
      <x:c r="I219" s="270" t="str">
        <x:v>5KZW</x:v>
      </x:c>
    </x:row>
    <x:row r="220" ht="42" customHeight="1">
      <x:c r="A220" s="268" t="str">
        <x:v>219</x:v>
      </x:c>
      <x:c r="B220" s="269" t="str">
        <x:v>NTRK2/NTRK2</x:v>
      </x:c>
      <x:c r="C220" s="269" t="str">
        <x:v>NTRK2</x:v>
      </x:c>
      <x:c r="D220" s="269" t="str">
        <x:v>NTRK2</x:v>
      </x:c>
      <x:c r="E220" s="269" t="str">
        <x:v>NTRK2, NTRK2</x:v>
      </x:c>
      <x:c r="F220" s="269" t="str">
        <x:v>MUS MUSCULUS</x:v>
      </x:c>
      <x:c r="G220" s="269" t="str">
        <x:v>Fab</x:v>
      </x:c>
      <x:c r="H220" s="269" t="str">
        <x:v>1</x:v>
      </x:c>
      <x:c r="I220" s="270" t="str">
        <x:v>5MO9</x:v>
      </x:c>
    </x:row>
    <x:row r="221" ht="42" customHeight="1">
      <x:c r="A221" s="268" t="str">
        <x:v>220</x:v>
      </x:c>
      <x:c r="B221" s="269" t="str">
        <x:v>FBN1/FBN1</x:v>
      </x:c>
      <x:c r="C221" s="269" t="str">
        <x:v>FBN1</x:v>
      </x:c>
      <x:c r="D221" s="269" t="str">
        <x:v>FBN1</x:v>
      </x:c>
      <x:c r="E221" s="269" t="str">
        <x:v>FBN1, FBN1</x:v>
      </x:c>
      <x:c r="F221" s="269" t="str">
        <x:v>HOMO SAPIENS</x:v>
      </x:c>
      <x:c r="G221" s="269" t="str">
        <x:v>VHH</x:v>
      </x:c>
      <x:c r="H221" s="269" t="str">
        <x:v>1</x:v>
      </x:c>
      <x:c r="I221" s="270" t="str">
        <x:v>5MS9</x:v>
      </x:c>
    </x:row>
    <x:row r="222" ht="42" customHeight="1">
      <x:c r="A222" s="268" t="str">
        <x:v>221</x:v>
      </x:c>
      <x:c r="B222" s="269" t="str">
        <x:v>COL4A1/COL4A1</x:v>
      </x:c>
      <x:c r="C222" s="269" t="str">
        <x:v>COL4A1</x:v>
      </x:c>
      <x:c r="D222" s="269" t="str">
        <x:v>COL4A1</x:v>
      </x:c>
      <x:c r="E222" s="269" t="str">
        <x:v>COL4A1, COL4A1</x:v>
      </x:c>
      <x:c r="F222" s="269" t="str">
        <x:v>HOMO SAPIENS</x:v>
      </x:c>
      <x:c r="G222" s="269" t="str">
        <x:v>Fab</x:v>
      </x:c>
      <x:c r="H222" s="269" t="str">
        <x:v>1</x:v>
      </x:c>
      <x:c r="I222" s="270" t="str">
        <x:v>5NAY</x:v>
      </x:c>
    </x:row>
    <x:row r="223" ht="42" customHeight="1">
      <x:c r="A223" s="268" t="str">
        <x:v>222</x:v>
      </x:c>
      <x:c r="B223" s="269" t="str">
        <x:v>DRD4/DRD4</x:v>
      </x:c>
      <x:c r="C223" s="269" t="str">
        <x:v>DRD4</x:v>
      </x:c>
      <x:c r="D223" s="269" t="str">
        <x:v>DRD4</x:v>
      </x:c>
      <x:c r="E223" s="269" t="str">
        <x:v>DRD4, DRD4</x:v>
      </x:c>
      <x:c r="F223" s="269" t="str">
        <x:v>HOMO SAPIENS, ESCHERICHIA COLI</x:v>
      </x:c>
      <x:c r="G223" s="269" t="str">
        <x:v>Fab</x:v>
      </x:c>
      <x:c r="H223" s="269" t="str">
        <x:v>1</x:v>
      </x:c>
      <x:c r="I223" s="270" t="str">
        <x:v>5WIU</x:v>
      </x:c>
    </x:row>
    <x:row r="224" ht="42" customHeight="1">
      <x:c r="A224" s="268" t="str">
        <x:v>223</x:v>
      </x:c>
      <x:c r="B224" s="269" t="str">
        <x:v>CNR1/CNR1</x:v>
      </x:c>
      <x:c r="C224" s="269" t="str">
        <x:v>CNR1</x:v>
      </x:c>
      <x:c r="D224" s="269" t="str">
        <x:v>CNR1</x:v>
      </x:c>
      <x:c r="E224" s="269" t="str">
        <x:v>CNR1, CNR1</x:v>
      </x:c>
      <x:c r="F224" s="269" t="str">
        <x:v>HOMO SAPIENS, DESULFOVIBRIO VULGARIS (STRAIN HILDENBOROUGH / ATCC 29579 / DSM 644 / NCIMB 8303)</x:v>
      </x:c>
      <x:c r="G224" s="269" t="str">
        <x:v>Fab</x:v>
      </x:c>
      <x:c r="H224" s="269" t="str">
        <x:v>1</x:v>
      </x:c>
      <x:c r="I224" s="270" t="str">
        <x:v>5XRA</x:v>
      </x:c>
    </x:row>
    <x:row r="225" ht="42" customHeight="1">
      <x:c r="A225" s="268" t="str">
        <x:v>224</x:v>
      </x:c>
      <x:c r="B225" s="269" t="str">
        <x:v>ATP4A/ATP4A</x:v>
      </x:c>
      <x:c r="C225" s="269" t="str">
        <x:v>ATP4A</x:v>
      </x:c>
      <x:c r="D225" s="269" t="str">
        <x:v>ATP4A</x:v>
      </x:c>
      <x:c r="E225" s="269" t="str">
        <x:v>ATP4A, ATP4A</x:v>
      </x:c>
      <x:c r="F225" s="269" t="str">
        <x:v>SUS SCROFA</x:v>
      </x:c>
      <x:c r="G225" s="269" t="str">
        <x:v>Fab</x:v>
      </x:c>
      <x:c r="H225" s="269" t="str">
        <x:v>1</x:v>
      </x:c>
      <x:c r="I225" s="270" t="str">
        <x:v>5YLU</x:v>
      </x:c>
    </x:row>
    <x:row r="226" ht="42" customHeight="1">
      <x:c r="A226" s="268" t="str">
        <x:v>225</x:v>
      </x:c>
      <x:c r="B226" s="269" t="str">
        <x:v>DICER1/DICER1</x:v>
      </x:c>
      <x:c r="C226" s="269" t="str">
        <x:v>DICER1</x:v>
      </x:c>
      <x:c r="D226" s="269" t="str">
        <x:v>DICER1</x:v>
      </x:c>
      <x:c r="E226" s="269" t="str">
        <x:v>DICER1, DICER1</x:v>
      </x:c>
      <x:c r="F226" s="269" t="str">
        <x:v>HOMO SAPIENS</x:v>
      </x:c>
      <x:c r="G226" s="269" t="str">
        <x:v>Fab</x:v>
      </x:c>
      <x:c r="H226" s="269" t="str">
        <x:v>1</x:v>
      </x:c>
      <x:c r="I226" s="270" t="str">
        <x:v>5ZAL</x:v>
      </x:c>
    </x:row>
    <x:row r="227" ht="42" customHeight="1">
      <x:c r="A227" s="268" t="str">
        <x:v>226</x:v>
      </x:c>
      <x:c r="B227" s="269" t="str">
        <x:v>PLAT/PLAT</x:v>
      </x:c>
      <x:c r="C227" s="269" t="str">
        <x:v>PLAT</x:v>
      </x:c>
      <x:c r="D227" s="269" t="str">
        <x:v>PLAT</x:v>
      </x:c>
      <x:c r="E227" s="269" t="str">
        <x:v>PLAT, PLAT</x:v>
      </x:c>
      <x:c r="F227" s="269" t="str">
        <x:v>HOMO SAPIENS</x:v>
      </x:c>
      <x:c r="G227" s="269" t="str">
        <x:v>Fab</x:v>
      </x:c>
      <x:c r="H227" s="269" t="str">
        <x:v>1</x:v>
      </x:c>
      <x:c r="I227" s="270" t="str">
        <x:v>5ZLZ</x:v>
      </x:c>
    </x:row>
    <x:row r="228" ht="42" customHeight="1">
      <x:c r="A228" s="268" t="str">
        <x:v>227</x:v>
      </x:c>
      <x:c r="B228" s="269" t="str">
        <x:v>HTR2A/HTR2A</x:v>
      </x:c>
      <x:c r="C228" s="269" t="str">
        <x:v>HTR2A</x:v>
      </x:c>
      <x:c r="D228" s="269" t="str">
        <x:v>HTR2A</x:v>
      </x:c>
      <x:c r="E228" s="269" t="str">
        <x:v>HTR2A, HTR2A</x:v>
      </x:c>
      <x:c r="F228" s="269" t="str">
        <x:v>HOMO SAPIENS, ESCHERICHIA COLI</x:v>
      </x:c>
      <x:c r="G228" s="269" t="str">
        <x:v>Fab</x:v>
      </x:c>
      <x:c r="H228" s="269" t="str">
        <x:v>1</x:v>
      </x:c>
      <x:c r="I228" s="270" t="str">
        <x:v>6A93</x:v>
      </x:c>
    </x:row>
    <x:row r="229" ht="42" customHeight="1">
      <x:c r="A229" s="268" t="str">
        <x:v>228</x:v>
      </x:c>
      <x:c r="B229" s="269" t="str">
        <x:v>GNAS/GNAS</x:v>
      </x:c>
      <x:c r="C229" s="269" t="str">
        <x:v>GNAS</x:v>
      </x:c>
      <x:c r="D229" s="269" t="str">
        <x:v>GNAS</x:v>
      </x:c>
      <x:c r="E229" s="269" t="str">
        <x:v>GNAS, GNAS</x:v>
      </x:c>
      <x:c r="F229" s="269" t="str">
        <x:v>HOMO SAPIENS</x:v>
      </x:c>
      <x:c r="G229" s="269" t="str">
        <x:v>Fab</x:v>
      </x:c>
      <x:c r="H229" s="269" t="str">
        <x:v>1</x:v>
      </x:c>
      <x:c r="I229" s="270" t="str">
        <x:v>6AU6</x:v>
      </x:c>
    </x:row>
    <x:row r="230" ht="42" customHeight="1">
      <x:c r="A230" s="268" t="str">
        <x:v>229</x:v>
      </x:c>
      <x:c r="B230" s="269" t="str">
        <x:v>DRD2/DRD2</x:v>
      </x:c>
      <x:c r="C230" s="269" t="str">
        <x:v>DRD2</x:v>
      </x:c>
      <x:c r="D230" s="269" t="str">
        <x:v>DRD2</x:v>
      </x:c>
      <x:c r="E230" s="269" t="str">
        <x:v>DRD2, DRD2</x:v>
      </x:c>
      <x:c r="F230" s="269" t="str">
        <x:v>HOMO SAPIENS, ENTEROBACTERIA PHAGE T4</x:v>
      </x:c>
      <x:c r="G230" s="269" t="str">
        <x:v>Fab</x:v>
      </x:c>
      <x:c r="H230" s="269" t="str">
        <x:v>1</x:v>
      </x:c>
      <x:c r="I230" s="270" t="str">
        <x:v>6CM4</x:v>
      </x:c>
    </x:row>
    <x:row r="231" ht="42" customHeight="1">
      <x:c r="A231" s="268" t="str">
        <x:v>230</x:v>
      </x:c>
      <x:c r="B231" s="269" t="str">
        <x:v>NTRK1/NTRK1</x:v>
      </x:c>
      <x:c r="C231" s="269" t="str">
        <x:v>NTRK1</x:v>
      </x:c>
      <x:c r="D231" s="269" t="str">
        <x:v>NTRK1</x:v>
      </x:c>
      <x:c r="E231" s="269" t="str">
        <x:v>NTRK1, NTRK1</x:v>
      </x:c>
      <x:c r="F231" s="269" t="str">
        <x:v>HOMO SAPIENS</x:v>
      </x:c>
      <x:c r="G231" s="269" t="str">
        <x:v>Fab</x:v>
      </x:c>
      <x:c r="H231" s="269" t="str">
        <x:v>1</x:v>
      </x:c>
      <x:c r="I231" s="270" t="str">
        <x:v>6D20</x:v>
      </x:c>
    </x:row>
    <x:row r="232" ht="42" customHeight="1">
      <x:c r="A232" s="268" t="str">
        <x:v>231</x:v>
      </x:c>
      <x:c r="B232" s="269" t="str">
        <x:v>COL3A1/COL3A1</x:v>
      </x:c>
      <x:c r="C232" s="269" t="str">
        <x:v>COL3A1</x:v>
      </x:c>
      <x:c r="D232" s="269" t="str">
        <x:v>COL3A1</x:v>
      </x:c>
      <x:c r="E232" s="269" t="str">
        <x:v>COL3A1, COL3A1</x:v>
      </x:c>
      <x:c r="F232" s="269" t="str">
        <x:v>HOMO SAPIENS</x:v>
      </x:c>
      <x:c r="G232" s="269" t="str">
        <x:v>Fab</x:v>
      </x:c>
      <x:c r="H232" s="269" t="str">
        <x:v>1</x:v>
      </x:c>
      <x:c r="I232" s="270" t="str">
        <x:v>6FZV</x:v>
      </x:c>
    </x:row>
    <x:row r="233" ht="42" customHeight="1">
      <x:c r="A233" s="268" t="str">
        <x:v>232</x:v>
      </x:c>
      <x:c r="B233" s="269" t="str">
        <x:v>SUCLG1/SUCLG1</x:v>
      </x:c>
      <x:c r="C233" s="269" t="str">
        <x:v>SUCLG1</x:v>
      </x:c>
      <x:c r="D233" s="269" t="str">
        <x:v>SUCLG1</x:v>
      </x:c>
      <x:c r="E233" s="269" t="str">
        <x:v>SUCLG1, SUCLG1</x:v>
      </x:c>
      <x:c r="F233" s="269" t="str">
        <x:v>HOMO SAPIENS</x:v>
      </x:c>
      <x:c r="G233" s="269" t="str">
        <x:v>Fab</x:v>
      </x:c>
      <x:c r="H233" s="269" t="str">
        <x:v>1</x:v>
      </x:c>
      <x:c r="I233" s="270" t="str">
        <x:v>6G4Q</x:v>
      </x:c>
    </x:row>
    <x:row r="234" ht="42" customHeight="1">
      <x:c r="A234" s="268" t="str">
        <x:v>233</x:v>
      </x:c>
      <x:c r="B234" s="269" t="str">
        <x:v>PSPH/PSPH</x:v>
      </x:c>
      <x:c r="C234" s="269" t="str">
        <x:v>PSPH</x:v>
      </x:c>
      <x:c r="D234" s="269" t="str">
        <x:v>PSPH</x:v>
      </x:c>
      <x:c r="E234" s="269" t="str">
        <x:v>PSPH, PSPH</x:v>
      </x:c>
      <x:c r="F234" s="269" t="str">
        <x:v>HOMO SAPIENS</x:v>
      </x:c>
      <x:c r="G234" s="269" t="str">
        <x:v>Fab</x:v>
      </x:c>
      <x:c r="H234" s="269" t="str">
        <x:v>1</x:v>
      </x:c>
      <x:c r="I234" s="270" t="str">
        <x:v>6HYJ</x:v>
      </x:c>
    </x:row>
    <x:row r="235" ht="42" customHeight="1">
      <x:c r="A235" s="268" t="str">
        <x:v>234</x:v>
      </x:c>
      <x:c r="B235" s="269" t="str">
        <x:v>GUCY1A1/GUCY1A1</x:v>
      </x:c>
      <x:c r="C235" s="269" t="str">
        <x:v>GUCY1A1</x:v>
      </x:c>
      <x:c r="D235" s="269" t="str">
        <x:v>GUCY1A1</x:v>
      </x:c>
      <x:c r="E235" s="269" t="str">
        <x:v>GUCY1A1, GUCY1A1</x:v>
      </x:c>
      <x:c r="F235" s="269" t="str">
        <x:v>HOMO SAPIENS</x:v>
      </x:c>
      <x:c r="G235" s="269" t="str">
        <x:v>Fab</x:v>
      </x:c>
      <x:c r="H235" s="269" t="str">
        <x:v>1</x:v>
      </x:c>
      <x:c r="I235" s="270" t="str">
        <x:v>6JT0</x:v>
      </x:c>
    </x:row>
    <x:row r="236" ht="42" customHeight="1">
      <x:c r="A236" s="268" t="str">
        <x:v>235</x:v>
      </x:c>
      <x:c r="B236" s="269" t="str">
        <x:v>ADRA2B/ADRA2B</x:v>
      </x:c>
      <x:c r="C236" s="269" t="str">
        <x:v>ADRA2B</x:v>
      </x:c>
      <x:c r="D236" s="269" t="str">
        <x:v>ADRA2B</x:v>
      </x:c>
      <x:c r="E236" s="269" t="str">
        <x:v>ADRA2B, ADRA2B</x:v>
      </x:c>
      <x:c r="F236" s="269" t="str">
        <x:v>HOMO SAPIENS</x:v>
      </x:c>
      <x:c r="G236" s="269" t="str">
        <x:v>VHH</x:v>
      </x:c>
      <x:c r="H236" s="269" t="str">
        <x:v>1</x:v>
      </x:c>
      <x:c r="I236" s="270" t="str">
        <x:v>6K41</x:v>
      </x:c>
    </x:row>
    <x:row r="237" ht="42" customHeight="1">
      <x:c r="A237" s="268" t="str">
        <x:v>236</x:v>
      </x:c>
      <x:c r="B237" s="269" t="str">
        <x:v>ATM/ATM</x:v>
      </x:c>
      <x:c r="C237" s="269" t="str">
        <x:v>ATM</x:v>
      </x:c>
      <x:c r="D237" s="269" t="str">
        <x:v>ATM</x:v>
      </x:c>
      <x:c r="E237" s="269" t="str">
        <x:v>ATM, ATM</x:v>
      </x:c>
      <x:c r="F237" s="269" t="str">
        <x:v>HOMO SAPIENS</x:v>
      </x:c>
      <x:c r="G237" s="269" t="str">
        <x:v>Fab</x:v>
      </x:c>
      <x:c r="H237" s="269" t="str">
        <x:v>1</x:v>
      </x:c>
      <x:c r="I237" s="270" t="str">
        <x:v>6K9L</x:v>
      </x:c>
    </x:row>
    <x:row r="238" ht="42" customHeight="1">
      <x:c r="A238" s="268" t="str">
        <x:v>237</x:v>
      </x:c>
      <x:c r="B238" s="269" t="str">
        <x:v>CACNA1G/CACNA1G</x:v>
      </x:c>
      <x:c r="C238" s="269" t="str">
        <x:v>CACNA1G</x:v>
      </x:c>
      <x:c r="D238" s="269" t="str">
        <x:v>CACNA1G</x:v>
      </x:c>
      <x:c r="E238" s="269" t="str">
        <x:v>CACNA1G, CACNA1G</x:v>
      </x:c>
      <x:c r="F238" s="269" t="str">
        <x:v>HOMO SAPIENS</x:v>
      </x:c>
      <x:c r="G238" s="269" t="str">
        <x:v>Fab</x:v>
      </x:c>
      <x:c r="H238" s="269" t="str">
        <x:v>1</x:v>
      </x:c>
      <x:c r="I238" s="270" t="str">
        <x:v>6KZO</x:v>
      </x:c>
    </x:row>
    <x:row r="239" ht="42" customHeight="1">
      <x:c r="A239" s="268" t="str">
        <x:v>238</x:v>
      </x:c>
      <x:c r="B239" s="269" t="str">
        <x:v>PROC/PROC</x:v>
      </x:c>
      <x:c r="C239" s="269" t="str">
        <x:v>PROC</x:v>
      </x:c>
      <x:c r="D239" s="269" t="str">
        <x:v>PROC</x:v>
      </x:c>
      <x:c r="E239" s="269" t="str">
        <x:v>PROC, PROC</x:v>
      </x:c>
      <x:c r="F239" s="269" t="str">
        <x:v>HOMO SAPIENS</x:v>
      </x:c>
      <x:c r="G239" s="269" t="str">
        <x:v>Fab</x:v>
      </x:c>
      <x:c r="H239" s="269" t="str">
        <x:v>1</x:v>
      </x:c>
      <x:c r="I239" s="270" t="str">
        <x:v>6M3B</x:v>
      </x:c>
    </x:row>
    <x:row r="240" ht="42" customHeight="1">
      <x:c r="A240" s="268" t="str">
        <x:v>239</x:v>
      </x:c>
      <x:c r="B240" s="269" t="str">
        <x:v>CFTR/CFTR</x:v>
      </x:c>
      <x:c r="C240" s="269" t="str">
        <x:v>CFTR</x:v>
      </x:c>
      <x:c r="D240" s="269" t="str">
        <x:v>CFTR</x:v>
      </x:c>
      <x:c r="E240" s="269" t="str">
        <x:v>CFTR, CFTR</x:v>
      </x:c>
      <x:c r="F240" s="269" t="str">
        <x:v>HOMO SAPIENS</x:v>
      </x:c>
      <x:c r="G240" s="269" t="str">
        <x:v>Fab</x:v>
      </x:c>
      <x:c r="H240" s="269" t="str">
        <x:v>1</x:v>
      </x:c>
      <x:c r="I240" s="270" t="str">
        <x:v>6MSM</x:v>
      </x:c>
    </x:row>
    <x:row r="241" ht="42" customHeight="1">
      <x:c r="A241" s="268" t="str">
        <x:v>240</x:v>
      </x:c>
      <x:c r="B241" s="269" t="str">
        <x:v>KLKB1/KLKB1</x:v>
      </x:c>
      <x:c r="C241" s="269" t="str">
        <x:v>KLKB1</x:v>
      </x:c>
      <x:c r="D241" s="269" t="str">
        <x:v>KLKB1</x:v>
      </x:c>
      <x:c r="E241" s="269" t="str">
        <x:v>KLKB1, KLKB1</x:v>
      </x:c>
      <x:c r="F241" s="269" t="str">
        <x:v>HOMO SAPIENS</x:v>
      </x:c>
      <x:c r="G241" s="269" t="str">
        <x:v>Fab</x:v>
      </x:c>
      <x:c r="H241" s="269" t="str">
        <x:v>1</x:v>
      </x:c>
      <x:c r="I241" s="270" t="str">
        <x:v>6O1S</x:v>
      </x:c>
    </x:row>
    <x:row r="242" ht="42" customHeight="1">
      <x:c r="A242" s="268" t="str">
        <x:v>241</x:v>
      </x:c>
      <x:c r="B242" s="269" t="str">
        <x:v>MYH7/MYH7</x:v>
      </x:c>
      <x:c r="C242" s="269" t="str">
        <x:v>MYH7</x:v>
      </x:c>
      <x:c r="D242" s="269" t="str">
        <x:v>MYH7</x:v>
      </x:c>
      <x:c r="E242" s="269" t="str">
        <x:v>MYH7, MYH7</x:v>
      </x:c>
      <x:c r="F242" s="269" t="str">
        <x:v>HOMO SAPIENS</x:v>
      </x:c>
      <x:c r="G242" s="269" t="str">
        <x:v>Fab</x:v>
      </x:c>
      <x:c r="H242" s="269" t="str">
        <x:v>1</x:v>
      </x:c>
      <x:c r="I242" s="270" t="str">
        <x:v>6PFP</x:v>
      </x:c>
    </x:row>
    <x:row r="243" ht="42" customHeight="1">
      <x:c r="A243" s="268" t="str">
        <x:v>242</x:v>
      </x:c>
      <x:c r="B243" s="269" t="str">
        <x:v>ABCB4/ABCB4</x:v>
      </x:c>
      <x:c r="C243" s="269" t="str">
        <x:v>ABCB4</x:v>
      </x:c>
      <x:c r="D243" s="269" t="str">
        <x:v>ABCB4</x:v>
      </x:c>
      <x:c r="E243" s="269" t="str">
        <x:v>ABCB4, ABCB4</x:v>
      </x:c>
      <x:c r="F243" s="269" t="str">
        <x:v>HOMO SAPIENS</x:v>
      </x:c>
      <x:c r="G243" s="269" t="str">
        <x:v>Fab</x:v>
      </x:c>
      <x:c r="H243" s="269" t="str">
        <x:v>1</x:v>
      </x:c>
      <x:c r="I243" s="270" t="str">
        <x:v>6S7P</x:v>
      </x:c>
    </x:row>
    <x:row r="244" ht="42" customHeight="1">
      <x:c r="A244" s="268" t="str">
        <x:v>243</x:v>
      </x:c>
      <x:c r="B244" s="269" t="str">
        <x:v>TG/TG</x:v>
      </x:c>
      <x:c r="C244" s="269" t="str">
        <x:v>TG</x:v>
      </x:c>
      <x:c r="D244" s="269" t="str">
        <x:v>TG</x:v>
      </x:c>
      <x:c r="E244" s="269" t="str">
        <x:v>TG, TG</x:v>
      </x:c>
      <x:c r="F244" s="269" t="str">
        <x:v>HOMO SAPIENS</x:v>
      </x:c>
      <x:c r="G244" s="269" t="str">
        <x:v>Fab</x:v>
      </x:c>
      <x:c r="H244" s="269" t="str">
        <x:v>1</x:v>
      </x:c>
      <x:c r="I244" s="270" t="str">
        <x:v>6SCJ</x:v>
      </x:c>
    </x:row>
    <x:row r="245" ht="42" customHeight="1">
      <x:c r="A245" s="268" t="str">
        <x:v>244</x:v>
      </x:c>
      <x:c r="B245" s="269" t="str">
        <x:v>RYR1/RYR1</x:v>
      </x:c>
      <x:c r="C245" s="269" t="str">
        <x:v>RYR1</x:v>
      </x:c>
      <x:c r="D245" s="269" t="str">
        <x:v>RYR1</x:v>
      </x:c>
      <x:c r="E245" s="269" t="str">
        <x:v>RYR1, RYR1</x:v>
      </x:c>
      <x:c r="F245" s="269" t="str">
        <x:v>BACTEROIDES THETAIOTAOMICRON (STRAIN ATCC 29148 / DSM 2079 / NCTC 10582 / E50 / VPI-5482), HOMO SAPIENS</x:v>
      </x:c>
      <x:c r="G245" s="269" t="str">
        <x:v>VHH</x:v>
      </x:c>
      <x:c r="H245" s="269" t="str">
        <x:v>1</x:v>
      </x:c>
      <x:c r="I245" s="270" t="str">
        <x:v>6UHI</x:v>
      </x:c>
    </x:row>
    <x:row r="246" ht="42" customHeight="1">
      <x:c r="A246" s="268" t="str">
        <x:v>245</x:v>
      </x:c>
      <x:c r="B246" s="269" t="str">
        <x:v>JAK2/JAK2</x:v>
      </x:c>
      <x:c r="C246" s="269" t="str">
        <x:v>JAK2</x:v>
      </x:c>
      <x:c r="D246" s="269" t="str">
        <x:v>JAK2</x:v>
      </x:c>
      <x:c r="E246" s="269" t="str">
        <x:v>JAK2, JAK2</x:v>
      </x:c>
      <x:c r="F246" s="269" t="str">
        <x:v>HOMO SAPIENS</x:v>
      </x:c>
      <x:c r="G246" s="269" t="str">
        <x:v>Fab</x:v>
      </x:c>
      <x:c r="H246" s="269" t="str">
        <x:v>1</x:v>
      </x:c>
      <x:c r="I246" s="270" t="str">
        <x:v>6VGL</x:v>
      </x:c>
    </x:row>
    <x:row r="247" ht="42" customHeight="1">
      <x:c r="A247" s="268" t="str">
        <x:v>246</x:v>
      </x:c>
      <x:c r="B247" s="269" t="str">
        <x:v>GABRB2/GABRB2</x:v>
      </x:c>
      <x:c r="C247" s="269" t="str">
        <x:v>GABRB2</x:v>
      </x:c>
      <x:c r="D247" s="269" t="str">
        <x:v>GABRB2</x:v>
      </x:c>
      <x:c r="E247" s="269" t="str">
        <x:v>GABRB2, GABRB2</x:v>
      </x:c>
      <x:c r="F247" s="269" t="str">
        <x:v>HOMO SAPIENS</x:v>
      </x:c>
      <x:c r="G247" s="269" t="str">
        <x:v>Fab</x:v>
      </x:c>
      <x:c r="H247" s="269" t="str">
        <x:v>1</x:v>
      </x:c>
      <x:c r="I247" s="270" t="str">
        <x:v>6X3U</x:v>
      </x:c>
    </x:row>
    <x:row r="248" ht="42" customHeight="1">
      <x:c r="A248" s="268" t="str">
        <x:v>247</x:v>
      </x:c>
      <x:c r="B248" s="269" t="str">
        <x:v>AVPR2/AVPR2</x:v>
      </x:c>
      <x:c r="C248" s="269" t="str">
        <x:v>AVPR2</x:v>
      </x:c>
      <x:c r="D248" s="269" t="str">
        <x:v>AVPR2</x:v>
      </x:c>
      <x:c r="E248" s="269" t="str">
        <x:v>AVPR2, AVPR2</x:v>
      </x:c>
      <x:c r="F248" s="269" t="str">
        <x:v>HOMO SAPIENS</x:v>
      </x:c>
      <x:c r="G248" s="269" t="str">
        <x:v>VHH</x:v>
      </x:c>
      <x:c r="H248" s="269" t="str">
        <x:v>1</x:v>
      </x:c>
      <x:c r="I248" s="270" t="str">
        <x:v>7BB6</x:v>
      </x:c>
    </x:row>
    <x:row r="249" ht="42" customHeight="1">
      <x:c r="A249" s="268" t="str">
        <x:v>248</x:v>
      </x:c>
      <x:c r="B249" s="269" t="str">
        <x:v>TLR7/TLR7</x:v>
      </x:c>
      <x:c r="C249" s="269" t="str">
        <x:v>TLR7</x:v>
      </x:c>
      <x:c r="D249" s="269" t="str">
        <x:v>TLR7</x:v>
      </x:c>
      <x:c r="E249" s="269" t="str">
        <x:v>TLR7, TLR7</x:v>
      </x:c>
      <x:c r="F249" s="269" t="str">
        <x:v>HOMO SAPIENS</x:v>
      </x:c>
      <x:c r="G249" s="269" t="str">
        <x:v>Fab</x:v>
      </x:c>
      <x:c r="H249" s="269" t="str">
        <x:v>1</x:v>
      </x:c>
      <x:c r="I249" s="270" t="str">
        <x:v>7CYN</x:v>
      </x:c>
    </x:row>
    <x:row r="250" ht="42" customHeight="1">
      <x:c r="A250" s="268" t="str">
        <x:v>249</x:v>
      </x:c>
      <x:c r="B250" s="269" t="str">
        <x:v>SCN1A/SCN1A</x:v>
      </x:c>
      <x:c r="C250" s="269" t="str">
        <x:v>SCN1A</x:v>
      </x:c>
      <x:c r="D250" s="269" t="str">
        <x:v>SCN1A</x:v>
      </x:c>
      <x:c r="E250" s="269" t="str">
        <x:v>SCN1A, SCN1A</x:v>
      </x:c>
      <x:c r="F250" s="269" t="str">
        <x:v>HOMO SAPIENS</x:v>
      </x:c>
      <x:c r="G250" s="269" t="str">
        <x:v>Fab</x:v>
      </x:c>
      <x:c r="H250" s="269" t="str">
        <x:v>1</x:v>
      </x:c>
      <x:c r="I250" s="270" t="str">
        <x:v>7DTD</x:v>
      </x:c>
    </x:row>
    <x:row r="251" ht="42" customHeight="1">
      <x:c r="A251" s="268" t="str">
        <x:v>250</x:v>
      </x:c>
      <x:c r="B251" s="269" t="str">
        <x:v>LHCGR/LHCGR</x:v>
      </x:c>
      <x:c r="C251" s="269" t="str">
        <x:v>LHCGR</x:v>
      </x:c>
      <x:c r="D251" s="269" t="str">
        <x:v>LHCGR</x:v>
      </x:c>
      <x:c r="E251" s="269" t="str">
        <x:v>LHCGR, LHCGR</x:v>
      </x:c>
      <x:c r="F251" s="269" t="str">
        <x:v>HOMO SAPIENS</x:v>
      </x:c>
      <x:c r="G251" s="269" t="str">
        <x:v>Fab</x:v>
      </x:c>
      <x:c r="H251" s="269" t="str">
        <x:v>1</x:v>
      </x:c>
      <x:c r="I251" s="270" t="str">
        <x:v>7FIJ</x:v>
      </x:c>
    </x:row>
    <x:row r="252" ht="42" customHeight="1">
      <x:c r="A252" s="268" t="str">
        <x:v>251</x:v>
      </x:c>
      <x:c r="B252" s="269" t="str">
        <x:v>PDE3A/PDE3A</x:v>
      </x:c>
      <x:c r="C252" s="269" t="str">
        <x:v>PDE3A</x:v>
      </x:c>
      <x:c r="D252" s="269" t="str">
        <x:v>PDE3A</x:v>
      </x:c>
      <x:c r="E252" s="269" t="str">
        <x:v>PDE3A, PDE3A</x:v>
      </x:c>
      <x:c r="F252" s="269" t="str">
        <x:v>HOMO SAPIENS</x:v>
      </x:c>
      <x:c r="G252" s="269" t="str">
        <x:v>Fab</x:v>
      </x:c>
      <x:c r="H252" s="269" t="str">
        <x:v>1</x:v>
      </x:c>
      <x:c r="I252" s="270" t="str">
        <x:v>7L28</x:v>
      </x:c>
    </x:row>
    <x:row r="253" ht="42" customHeight="1">
      <x:c r="A253" s="268" t="str">
        <x:v>252</x:v>
      </x:c>
      <x:c r="B253" s="269" t="str">
        <x:v>ALK/ALK</x:v>
      </x:c>
      <x:c r="C253" s="269" t="str">
        <x:v>ALK</x:v>
      </x:c>
      <x:c r="D253" s="269" t="str">
        <x:v>ALK</x:v>
      </x:c>
      <x:c r="E253" s="269" t="str">
        <x:v>ALK, ALK</x:v>
      </x:c>
      <x:c r="F253" s="269" t="str">
        <x:v>HOMO SAPIENS</x:v>
      </x:c>
      <x:c r="G253" s="269" t="str">
        <x:v>Fab</x:v>
      </x:c>
      <x:c r="H253" s="269" t="str">
        <x:v>1</x:v>
      </x:c>
      <x:c r="I253" s="270" t="str">
        <x:v>7MZY</x:v>
      </x:c>
    </x:row>
    <x:row r="254" ht="42" customHeight="1">
      <x:c r="A254" s="268" t="str">
        <x:v>253</x:v>
      </x:c>
      <x:c r="B254" s="269" t="str">
        <x:v>SPINK1/SPINK1</x:v>
      </x:c>
      <x:c r="C254" s="269" t="str">
        <x:v>SPINK1</x:v>
      </x:c>
      <x:c r="D254" s="269" t="str">
        <x:v>SPINK1</x:v>
      </x:c>
      <x:c r="E254" s="269" t="str">
        <x:v>SPINK1, SPINK1</x:v>
      </x:c>
      <x:c r="F254" s="269" t="str">
        <x:v>HOMO SAPIENS</x:v>
      </x:c>
      <x:c r="G254" s="269" t="str">
        <x:v>Fab</x:v>
      </x:c>
      <x:c r="H254" s="269" t="str">
        <x:v>1</x:v>
      </x:c>
      <x:c r="I254" s="270" t="str">
        <x:v>7QE8</x:v>
      </x:c>
    </x:row>
    <x:row r="255" ht="42" customHeight="1">
      <x:c r="A255" s="268" t="str">
        <x:v>254</x:v>
      </x:c>
      <x:c r="B255" s="269" t="str">
        <x:v>MMP7/MMP7</x:v>
      </x:c>
      <x:c r="C255" s="269" t="str">
        <x:v>MMP7</x:v>
      </x:c>
      <x:c r="D255" s="269" t="str">
        <x:v>MMP7</x:v>
      </x:c>
      <x:c r="E255" s="269" t="str">
        <x:v>MMP7, MMP7</x:v>
      </x:c>
      <x:c r="F255" s="269" t="str">
        <x:v>HOMO SAPIENS</x:v>
      </x:c>
      <x:c r="G255" s="269" t="str">
        <x:v>Fab</x:v>
      </x:c>
      <x:c r="H255" s="269" t="str">
        <x:v>1</x:v>
      </x:c>
      <x:c r="I255" s="270" t="str">
        <x:v>7WXX</x:v>
      </x:c>
    </x:row>
    <x:row r="256" ht="42" customHeight="1">
      <x:c r="A256" s="268" t="str">
        <x:v>255</x:v>
      </x:c>
      <x:c r="B256" s="269" t="str">
        <x:v>ATP2C1/ATP2C1</x:v>
      </x:c>
      <x:c r="C256" s="269" t="str">
        <x:v>ATP2C1</x:v>
      </x:c>
      <x:c r="D256" s="269" t="str">
        <x:v>ATP2C1</x:v>
      </x:c>
      <x:c r="E256" s="269" t="str">
        <x:v>ATP2C1, ATP2C1</x:v>
      </x:c>
      <x:c r="F256" s="269" t="str">
        <x:v>HOMO SAPIENS</x:v>
      </x:c>
      <x:c r="G256" s="269" t="str">
        <x:v>VHH</x:v>
      </x:c>
      <x:c r="H256" s="269" t="str">
        <x:v>1</x:v>
      </x:c>
      <x:c r="I256" s="270" t="str">
        <x:v>7YAG</x:v>
      </x:c>
    </x:row>
    <x:row r="257" ht="42" customHeight="1">
      <x:c r="A257" s="268" t="str">
        <x:v>256</x:v>
      </x:c>
      <x:c r="B257" s="269" t="str">
        <x:v>TLR9/TLR9</x:v>
      </x:c>
      <x:c r="C257" s="269" t="str">
        <x:v>TLR9</x:v>
      </x:c>
      <x:c r="D257" s="269" t="str">
        <x:v>TLR9</x:v>
      </x:c>
      <x:c r="E257" s="269" t="str">
        <x:v>TLR9, TLR9</x:v>
      </x:c>
      <x:c r="F257" s="269" t="str">
        <x:v>HOMO SAPIENS</x:v>
      </x:c>
      <x:c r="G257" s="269" t="str">
        <x:v>VHH</x:v>
      </x:c>
      <x:c r="H257" s="269" t="str">
        <x:v>1</x:v>
      </x:c>
      <x:c r="I257" s="270" t="str">
        <x:v>8AR3</x:v>
      </x:c>
    </x:row>
    <x:row r="258" ht="42" customHeight="1">
      <x:c r="A258" s="268" t="str">
        <x:v>257</x:v>
      </x:c>
      <x:c r="B258" s="269" t="str">
        <x:v>GREM1/GREM1</x:v>
      </x:c>
      <x:c r="C258" s="269" t="str">
        <x:v>GREM1</x:v>
      </x:c>
      <x:c r="D258" s="269" t="str">
        <x:v>GREM1</x:v>
      </x:c>
      <x:c r="E258" s="269" t="str">
        <x:v>GREM1, GREM1</x:v>
      </x:c>
      <x:c r="F258" s="269" t="str">
        <x:v>HOMO SAPIENS</x:v>
      </x:c>
      <x:c r="G258" s="269" t="str">
        <x:v>Fab</x:v>
      </x:c>
      <x:c r="H258" s="269" t="str">
        <x:v>1</x:v>
      </x:c>
      <x:c r="I258" s="270" t="str">
        <x:v>8B7H</x:v>
      </x:c>
    </x:row>
    <x:row r="259" ht="42" customHeight="1">
      <x:c r="A259" s="268" t="str">
        <x:v>258</x:v>
      </x:c>
      <x:c r="B259" s="269" t="str">
        <x:v>OPRM1/OPRM1</x:v>
      </x:c>
      <x:c r="C259" s="269" t="str">
        <x:v>OPRM1</x:v>
      </x:c>
      <x:c r="D259" s="269" t="str">
        <x:v>OPRM1</x:v>
      </x:c>
      <x:c r="E259" s="269" t="str">
        <x:v>OPRM1, OPRM1</x:v>
      </x:c>
      <x:c r="F259" s="269" t="str">
        <x:v>HOMO SAPIENS</x:v>
      </x:c>
      <x:c r="G259" s="269" t="str">
        <x:v>Fab</x:v>
      </x:c>
      <x:c r="H259" s="269" t="str">
        <x:v>1</x:v>
      </x:c>
      <x:c r="I259" s="270" t="str">
        <x:v>8F7Q</x:v>
      </x:c>
    </x:row>
    <x:row r="260" ht="42" customHeight="1">
      <x:c r="A260" s="268" t="str">
        <x:v>259</x:v>
      </x:c>
      <x:c r="B260" s="269" t="str">
        <x:v>GUCY2C/GUCY2C</x:v>
      </x:c>
      <x:c r="C260" s="269" t="str">
        <x:v>GUCY2C</x:v>
      </x:c>
      <x:c r="D260" s="269" t="str">
        <x:v>GUCY2C</x:v>
      </x:c>
      <x:c r="E260" s="269" t="str">
        <x:v>GUCY2C, GUCY2C</x:v>
      </x:c>
      <x:c r="F260" s="269" t="str">
        <x:v>CRICETULUS GRISEUS</x:v>
      </x:c>
      <x:c r="G260" s="269" t="str">
        <x:v>Fab</x:v>
      </x:c>
      <x:c r="H260" s="269" t="str">
        <x:v>1</x:v>
      </x:c>
      <x:c r="I260" s="270" t="str">
        <x:v>8FX4</x:v>
      </x:c>
    </x:row>
    <x:row r="261" ht="42" customHeight="1">
      <x:c r="A261" s="268" t="str">
        <x:v>260</x:v>
      </x:c>
      <x:c r="B261" s="269" t="str">
        <x:v>GPR161/GPR161</x:v>
      </x:c>
      <x:c r="C261" s="269" t="str">
        <x:v>GPR161</x:v>
      </x:c>
      <x:c r="D261" s="269" t="str">
        <x:v>GPR161</x:v>
      </x:c>
      <x:c r="E261" s="269" t="str">
        <x:v>GPR161, GPR161</x:v>
      </x:c>
      <x:c r="F261" s="269" t="str">
        <x:v>HOMO SAPIENS</x:v>
      </x:c>
      <x:c r="G261" s="269" t="str">
        <x:v>VHH</x:v>
      </x:c>
      <x:c r="H261" s="269" t="str">
        <x:v>1</x:v>
      </x:c>
      <x:c r="I261" s="270" t="str">
        <x:v>8KH4</x:v>
      </x:c>
    </x:row>
    <x:row r="262" ht="42" customHeight="1">
      <x:c r="A262" s="268" t="str">
        <x:v>261</x:v>
      </x:c>
      <x:c r="B262" s="269" t="str">
        <x:v>ADRB1/ADRB1</x:v>
      </x:c>
      <x:c r="C262" s="269" t="str">
        <x:v>ADRB1</x:v>
      </x:c>
      <x:c r="D262" s="269" t="str">
        <x:v>ADRB1</x:v>
      </x:c>
      <x:c r="E262" s="269" t="str">
        <x:v>ADRB1, ADRB1</x:v>
      </x:c>
      <x:c r="F262" s="269" t="str">
        <x:v>HOMO SAPIENS</x:v>
      </x:c>
      <x:c r="G262" s="269" t="str">
        <x:v>VHH</x:v>
      </x:c>
      <x:c r="H262" s="269" t="str">
        <x:v>1</x:v>
      </x:c>
      <x:c r="I262" s="270" t="str">
        <x:v>8S2T</x:v>
      </x:c>
    </x:row>
    <x:row r="263" ht="42" customHeight="1">
      <x:c r="A263" s="268" t="str">
        <x:v>262</x:v>
      </x:c>
      <x:c r="B263" s="269" t="str">
        <x:v>CTNNB1/CTNNB1</x:v>
      </x:c>
      <x:c r="C263" s="269" t="str">
        <x:v>CTNNB1</x:v>
      </x:c>
      <x:c r="D263" s="269" t="str">
        <x:v>CTNNB1</x:v>
      </x:c>
      <x:c r="E263" s="269" t="str">
        <x:v>CTNNB1, CTNNB1</x:v>
      </x:c>
      <x:c r="F263" s="269" t="str">
        <x:v>HOMO SAPIENS</x:v>
      </x:c>
      <x:c r="G263" s="269" t="str">
        <x:v>Fab</x:v>
      </x:c>
      <x:c r="H263" s="269" t="str">
        <x:v>1</x:v>
      </x:c>
      <x:c r="I263" s="270" t="str">
        <x:v>8Y0G</x:v>
      </x:c>
    </x:row>
    <x:row r="264" ht="42" customHeight="1">
      <x:c r="A264" s="268" t="str">
        <x:v>263</x:v>
      </x:c>
      <x:c r="B264" s="269" t="str">
        <x:v>SCNN1B/SCNN1B</x:v>
      </x:c>
      <x:c r="C264" s="269" t="str">
        <x:v>SCNN1B</x:v>
      </x:c>
      <x:c r="D264" s="269" t="str">
        <x:v>SCNN1B</x:v>
      </x:c>
      <x:c r="E264" s="269" t="str">
        <x:v>SCNN1B, SCNN1B</x:v>
      </x:c>
      <x:c r="F264" s="269" t="str">
        <x:v>HOMO SAPIENS</x:v>
      </x:c>
      <x:c r="G264" s="269" t="str">
        <x:v>Fab</x:v>
      </x:c>
      <x:c r="H264" s="269" t="str">
        <x:v>1</x:v>
      </x:c>
      <x:c r="I264" s="270" t="str">
        <x:v>9BLR</x:v>
      </x:c>
    </x:row>
    <x:row r="265" ht="42" customHeight="1">
      <x:c r="A265" s="268" t="str">
        <x:v>264</x:v>
      </x:c>
      <x:c r="B265" s="269" t="str">
        <x:v>BEST1/BEST1</x:v>
      </x:c>
      <x:c r="C265" s="269" t="str">
        <x:v>BEST1</x:v>
      </x:c>
      <x:c r="D265" s="269" t="str">
        <x:v>BEST1</x:v>
      </x:c>
      <x:c r="E265" s="269" t="str">
        <x:v>BEST1, BEST1</x:v>
      </x:c>
      <x:c r="F265" s="269" t="str">
        <x:v>HOMO SAPIENS</x:v>
      </x:c>
      <x:c r="G265" s="269" t="str">
        <x:v>Fab</x:v>
      </x:c>
      <x:c r="H265" s="269" t="str">
        <x:v>1</x:v>
      </x:c>
      <x:c r="I265" s="270" t="str">
        <x:v>9EGT</x:v>
      </x:c>
    </x:row>
    <x:row r="266" ht="42" customHeight="1">
      <x:c r="A266" s="268" t="str">
        <x:v>265</x:v>
      </x:c>
      <x:c r="B266" s="269" t="str">
        <x:v>SLC6A3/SLC6A3</x:v>
      </x:c>
      <x:c r="C266" s="269" t="str">
        <x:v>SLC6A3</x:v>
      </x:c>
      <x:c r="D266" s="269" t="str">
        <x:v>SLC6A3</x:v>
      </x:c>
      <x:c r="E266" s="269" t="str">
        <x:v>SLC6A3, SLC6A3</x:v>
      </x:c>
      <x:c r="F266" s="269" t="str">
        <x:v>HOMO SAPIENS</x:v>
      </x:c>
      <x:c r="G266" s="269" t="str">
        <x:v>Fab</x:v>
      </x:c>
      <x:c r="H266" s="269" t="str">
        <x:v>1</x:v>
      </x:c>
      <x:c r="I266" s="270" t="str">
        <x:v>9EO4</x:v>
      </x:c>
    </x:row>
    <x:row r="267" ht="42" customHeight="1">
      <x:c r="A267" s="268" t="str">
        <x:v>266</x:v>
      </x:c>
      <x:c r="B267" s="269" t="str">
        <x:v>CHRNA1/CHRNA1</x:v>
      </x:c>
      <x:c r="C267" s="269" t="str">
        <x:v>CHRNA1</x:v>
      </x:c>
      <x:c r="D267" s="269" t="str">
        <x:v>CHRNA1</x:v>
      </x:c>
      <x:c r="E267" s="269" t="str">
        <x:v>CHRNA1, CHRNA1</x:v>
      </x:c>
      <x:c r="F267" s="269" t="str">
        <x:v>HOMO SAPIENS</x:v>
      </x:c>
      <x:c r="G267" s="269" t="str">
        <x:v>Fab</x:v>
      </x:c>
      <x:c r="H267" s="269" t="str">
        <x:v>1</x:v>
      </x:c>
      <x:c r="I267" s="270" t="str">
        <x:v>9GU3</x:v>
      </x:c>
    </x:row>
    <x:row r="268" ht="42" customHeight="1">
      <x:c r="A268" s="268" t="str">
        <x:v>267</x:v>
      </x:c>
      <x:c r="B268" s="269" t="str">
        <x:v>GNAI1/GNAI1</x:v>
      </x:c>
      <x:c r="C268" s="269" t="str">
        <x:v>GNAI1</x:v>
      </x:c>
      <x:c r="D268" s="269" t="str">
        <x:v>GNAI1</x:v>
      </x:c>
      <x:c r="E268" s="269" t="str">
        <x:v>GNAI1, GNAI1</x:v>
      </x:c>
      <x:c r="F268" s="269" t="str">
        <x:v>HOMO SAPIENS</x:v>
      </x:c>
      <x:c r="G268" s="269" t="str">
        <x:v>VHH</x:v>
      </x:c>
      <x:c r="H268" s="269" t="str">
        <x:v>1</x:v>
      </x:c>
      <x:c r="I268" s="270" t="str">
        <x:v>9ODM</x:v>
      </x:c>
    </x:row>
    <x:row r="269" ht="42" customHeight="1">
      <x:c r="A269" s="268" t="str">
        <x:v>268</x:v>
      </x:c>
      <x:c r="B269" s="269" t="str">
        <x:v>SCN5A/SCN5A</x:v>
      </x:c>
      <x:c r="C269" s="269" t="str">
        <x:v>SCN5A</x:v>
      </x:c>
      <x:c r="D269" s="269" t="str">
        <x:v>SCN5A</x:v>
      </x:c>
      <x:c r="E269" s="269" t="str">
        <x:v>SCN5A, SCN5A</x:v>
      </x:c>
      <x:c r="F269" s="269" t="str">
        <x:v>HOMO SAPIENS</x:v>
      </x:c>
      <x:c r="G269" s="269" t="str">
        <x:v>Fab</x:v>
      </x:c>
      <x:c r="H269" s="269" t="str">
        <x:v>1</x:v>
      </x:c>
      <x:c r="I269" s="270" t="str">
        <x:v>9P24</x:v>
      </x:c>
    </x:row>
    <x:row r="270" ht="42" customHeight="1">
      <x:c r="A270" s="271" t="str">
        <x:v>269</x:v>
      </x:c>
      <x:c r="B270" s="272" t="str">
        <x:v>NKX2-1/NKX2-1</x:v>
      </x:c>
      <x:c r="C270" s="272" t="str">
        <x:v>NKX2-1</x:v>
      </x:c>
      <x:c r="D270" s="272" t="str">
        <x:v>NKX2-1</x:v>
      </x:c>
      <x:c r="E270" s="272" t="str">
        <x:v>NKX2-1, NKX2-1</x:v>
      </x:c>
      <x:c r="F270" s="272" t="str">
        <x:v>HOMO SAPIENS</x:v>
      </x:c>
      <x:c r="G270" s="272" t="str">
        <x:v>Fab</x:v>
      </x:c>
      <x:c r="H270" s="272" t="str">
        <x:v>1</x:v>
      </x:c>
      <x:c r="I270" s="273" t="str">
        <x:v>9U18</x:v>
      </x:c>
    </x:row>
  </x:sheetData>
  <x:pageMargins left="0.7" right="0.7" top="0.75" bottom="0.75" header="0.3" footer="0.3"/>
  <x:tableParts count="1">
    <x:tablePart xmlns:r="http://schemas.openxmlformats.org/officeDocument/2006/relationships" r:id="Rc8f56a39c36b4f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243" t="str">
        <x:v>target_id</x:v>
      </x:c>
      <x:c r="B1" s="243" t="str">
        <x:v>target_name</x:v>
      </x:c>
      <x:c r="C1" s="243" t="str">
        <x:v>uniprot</x:v>
      </x:c>
      <x:c r="D1" s="243" t="str">
        <x:v>organism</x:v>
      </x:c>
      <x:c r="E1" s="243" t="str">
        <x:v>disease_indications</x:v>
      </x:c>
      <x:c r="F1" s="243" t="str">
        <x:v>priority</x:v>
      </x:c>
      <x:c r="G1" s="243" t="str">
        <x:v>preferred_pdb</x:v>
      </x:c>
      <x:c r="H1" s="243" t="str">
        <x:v>preferred_scope</x:v>
      </x:c>
      <x:c r="I1" s="243" t="str">
        <x:v>action</x:v>
      </x:c>
      <x:c r="J1" s="243" t="str">
        <x:v>notes</x:v>
      </x:c>
    </x:row>
    <x:row r="2" ht="42" customHeight="1">
      <x:c r="A2" s="265" t="str">
        <x:v>TeNT / tetX</x:v>
      </x:c>
      <x:c r="B2" s="266" t="str">
        <x:v>Tetanus neurotoxin Hc fragment</x:v>
      </x:c>
      <x:c r="C2" s="266" t="str">
        <x:v>P04958</x:v>
      </x:c>
      <x:c r="D2" s="266" t="str">
        <x:v>Clostridium tetani</x:v>
      </x:c>
      <x:c r="E2" s="266" t="str">
        <x:v>破伤风</x:v>
      </x:c>
      <x:c r="F2" s="266" t="str">
        <x:v>P0</x:v>
      </x:c>
      <x:c r="G2" s="266" t="str">
        <x:v>1A8D</x:v>
      </x:c>
      <x:c r="H2" s="266" t="str">
        <x:v>受体结合 C 端抗原片段</x:v>
      </x:c>
      <x:c r="I2" s="266" t="str">
        <x:v>DOWNLOAD</x:v>
      </x:c>
      <x:c r="J2" s="267" t="str">
        <x:v>1A8D 是高分辨率 Hc 抗原；如需全长失活毒素可同时保存 7BY5。</x:v>
      </x:c>
    </x:row>
    <x:row r="3" ht="42" customHeight="1">
      <x:c r="A3" s="268" t="str">
        <x:v>PfHRP2 / PF3D7_0831800</x:v>
      </x:c>
      <x:c r="B3" s="269" t="str">
        <x:v>Histidine-rich protein 2</x:v>
      </x:c>
      <x:c r="C3" s="269" t="str"/>
      <x:c r="D3" s="269" t="str">
        <x:v>Plasmodium falciparum</x:v>
      </x:c>
      <x:c r="E3" s="269" t="str">
        <x:v>疟疾</x:v>
      </x:c>
      <x:c r="F3" s="269" t="str">
        <x:v>P0</x:v>
      </x:c>
      <x:c r="G3" s="269" t="str"/>
      <x:c r="H3" s="269" t="str">
        <x:v>重复富组氨酸、无可靠实验结构</x:v>
      </x:c>
      <x:c r="I3" s="269" t="str">
        <x:v>NO_EXPERIMENTAL_PDB</x:v>
      </x:c>
      <x:c r="J3" s="270" t="str">
        <x:v>不建议伪造 PDB；改为序列/线性表位资产，AlphaFold 结果也需低置信度标记。</x:v>
      </x:c>
    </x:row>
    <x:row r="4" ht="42" customHeight="1">
      <x:c r="A4" s="268" t="str">
        <x:v>CSP / PF3D7_0304600</x:v>
      </x:c>
      <x:c r="B4" s="269" t="str">
        <x:v>Circumsporozoite protein</x:v>
      </x:c>
      <x:c r="C4" s="269" t="str">
        <x:v>Q7K740</x:v>
      </x:c>
      <x:c r="D4" s="269" t="str">
        <x:v>Plasmodium falciparum 3D7</x:v>
      </x:c>
      <x:c r="E4" s="269" t="str">
        <x:v>疟疾 / 疫苗抗原</x:v>
      </x:c>
      <x:c r="F4" s="269" t="str">
        <x:v>P0</x:v>
      </x:c>
      <x:c r="G4" s="269" t="str">
        <x:v>7V05</x:v>
      </x:c>
      <x:c r="H4" s="269" t="str">
        <x:v>近全长 CSP–Fab 复合物</x:v>
      </x:c>
      <x:c r="I4" s="269" t="str">
        <x:v>DOWNLOAD</x:v>
      </x:c>
      <x:c r="J4" s="270" t="str">
        <x:v>含多拷贝 Fab；下载后应提取 CSP 链 Q。</x:v>
      </x:c>
    </x:row>
    <x:row r="5" ht="42" customHeight="1">
      <x:c r="A5" s="268" t="str">
        <x:v>MSP1 / PF3D7_0930300</x:v>
      </x:c>
      <x:c r="B5" s="269" t="str">
        <x:v>Merozoite surface protein 1</x:v>
      </x:c>
      <x:c r="C5" s="269" t="str">
        <x:v>Q8I0U8</x:v>
      </x:c>
      <x:c r="D5" s="269" t="str">
        <x:v>Plasmodium falciparum 3D7</x:v>
      </x:c>
      <x:c r="E5" s="269" t="str">
        <x:v>疟疾 / 血期疫苗抗原</x:v>
      </x:c>
      <x:c r="F5" s="269" t="str">
        <x:v>P0</x:v>
      </x:c>
      <x:c r="G5" s="269" t="str">
        <x:v>6ZBF</x:v>
      </x:c>
      <x:c r="H5" s="269" t="str">
        <x:v>近全长 MSP1 cryo-EM</x:v>
      </x:c>
      <x:c r="I5" s="269" t="str">
        <x:v>DOWNLOAD</x:v>
      </x:c>
      <x:c r="J5" s="270" t="str">
        <x:v>6ZBF 为近全长构象；1B9W/8DFG 可作为抗体表位结构补充。</x:v>
      </x:c>
    </x:row>
    <x:row r="6" ht="42" customHeight="1">
      <x:c r="A6" s="268" t="str">
        <x:v>AMA1 / PF3D7_1133400</x:v>
      </x:c>
      <x:c r="B6" s="269" t="str">
        <x:v>Apical membrane antigen 1</x:v>
      </x:c>
      <x:c r="C6" s="269" t="str">
        <x:v>Q7KQK5</x:v>
      </x:c>
      <x:c r="D6" s="269" t="str">
        <x:v>Plasmodium falciparum 3D7</x:v>
      </x:c>
      <x:c r="E6" s="269" t="str">
        <x:v>疟疾 / 侵袭抗原</x:v>
      </x:c>
      <x:c r="F6" s="269" t="str">
        <x:v>P0</x:v>
      </x:c>
      <x:c r="G6" s="269" t="str">
        <x:v>1Z40</x:v>
      </x:c>
      <x:c r="H6" s="269" t="str">
        <x:v>AMA1 domains I–II</x:v>
      </x:c>
      <x:c r="I6" s="269" t="str">
        <x:v>DOWNLOAD</x:v>
      </x:c>
      <x:c r="J6" s="270" t="str">
        <x:v>高分辨率功能片段，非完整前体。</x:v>
      </x:c>
    </x:row>
    <x:row r="7" ht="42" customHeight="1">
      <x:c r="A7" s="268" t="str">
        <x:v>RH5 / PF3D7_0424100</x:v>
      </x:c>
      <x:c r="B7" s="269" t="str">
        <x:v>Reticulocyte-binding protein homologue 5</x:v>
      </x:c>
      <x:c r="C7" s="269" t="str">
        <x:v>Q8IFM5</x:v>
      </x:c>
      <x:c r="D7" s="269" t="str">
        <x:v>Plasmodium falciparum 3D7</x:v>
      </x:c>
      <x:c r="E7" s="269" t="str">
        <x:v>疟疾 / 红细胞侵袭</x:v>
      </x:c>
      <x:c r="F7" s="269" t="str">
        <x:v>P0</x:v>
      </x:c>
      <x:c r="G7" s="269" t="str">
        <x:v>4WAT</x:v>
      </x:c>
      <x:c r="H7" s="269" t="str">
        <x:v>可溶性 RH5 抗原</x:v>
      </x:c>
      <x:c r="I7" s="269" t="str">
        <x:v>DOWNLOAD</x:v>
      </x:c>
      <x:c r="J7" s="270" t="str">
        <x:v>4WAT 为 2.18 Å RH5；4U0Q 含 Basigin/阻断抗体复合物。</x:v>
      </x:c>
    </x:row>
    <x:row r="8" ht="42" customHeight="1">
      <x:c r="A8" s="268" t="str">
        <x:v>HPV16 L1</x:v>
      </x:c>
      <x:c r="B8" s="269" t="str">
        <x:v>Major capsid protein L1</x:v>
      </x:c>
      <x:c r="C8" s="269" t="str">
        <x:v>A0A1U9YFU1</x:v>
      </x:c>
      <x:c r="D8" s="269" t="str">
        <x:v>Human papillomavirus 16</x:v>
      </x:c>
      <x:c r="E8" s="269" t="str">
        <x:v>HPV16 感染 / 宫颈癌预防</x:v>
      </x:c>
      <x:c r="F8" s="269" t="str">
        <x:v>P0</x:v>
      </x:c>
      <x:c r="G8" s="269" t="str">
        <x:v>2R5H</x:v>
      </x:c>
      <x:c r="H8" s="269" t="str">
        <x:v>L1 五聚体抗原</x:v>
      </x:c>
      <x:c r="I8" s="269" t="str">
        <x:v>DOWNLOAD</x:v>
      </x:c>
      <x:c r="J8" s="270" t="str">
        <x:v>适用于中和抗体和 VLP 表面表位分析。</x:v>
      </x:c>
    </x:row>
    <x:row r="9" ht="42" customHeight="1">
      <x:c r="A9" s="268" t="str">
        <x:v>HPV16 E6</x:v>
      </x:c>
      <x:c r="B9" s="269" t="str">
        <x:v>Oncoprotein E6</x:v>
      </x:c>
      <x:c r="C9" s="269" t="str">
        <x:v>P03126</x:v>
      </x:c>
      <x:c r="D9" s="269" t="str">
        <x:v>Human papillomavirus 16</x:v>
      </x:c>
      <x:c r="E9" s="269" t="str">
        <x:v>HPV16 相关癌症</x:v>
      </x:c>
      <x:c r="F9" s="269" t="str">
        <x:v>P0</x:v>
      </x:c>
      <x:c r="G9" s="269" t="str">
        <x:v>4GIZ</x:v>
      </x:c>
      <x:c r="H9" s="269" t="str">
        <x:v>近全长 E6–E6AP motif 复合物</x:v>
      </x:c>
      <x:c r="I9" s="269" t="str">
        <x:v>DOWNLOAD</x:v>
      </x:c>
      <x:c r="J9" s="270" t="str">
        <x:v>结构含融合/伴侣组分和突变，提取 E6 链并保留注释。</x:v>
      </x:c>
    </x:row>
    <x:row r="10" ht="42" customHeight="1">
      <x:c r="A10" s="271" t="str">
        <x:v>HPV16 E7</x:v>
      </x:c>
      <x:c r="B10" s="272" t="str">
        <x:v>Oncoprotein E7</x:v>
      </x:c>
      <x:c r="C10" s="272" t="str">
        <x:v>P03129</x:v>
      </x:c>
      <x:c r="D10" s="272" t="str">
        <x:v>Human papillomavirus 16</x:v>
      </x:c>
      <x:c r="E10" s="272" t="str">
        <x:v>HPV16 相关癌症</x:v>
      </x:c>
      <x:c r="F10" s="272" t="str">
        <x:v>P0</x:v>
      </x:c>
      <x:c r="G10" s="272" t="str">
        <x:v>6APN</x:v>
      </x:c>
      <x:c r="H10" s="272" t="str">
        <x:v>E7 肽–HLA 复合物</x:v>
      </x:c>
      <x:c r="I10" s="272" t="str">
        <x:v>DOWNLOAD_EPITOPE_ONLY</x:v>
      </x:c>
      <x:c r="J10" s="273" t="str">
        <x:v>没有可直接当作完整 HPV16 E7 抗原的实验结构；此项仅保存免疫表位构象。</x:v>
      </x:c>
    </x:row>
    <x:row r="12">
      <x:c r="A12" s="323" t="str">
        <x:v>注意：直接下载成功后仍须核验物种、UniProt、链、残基覆盖、构建体、突变、寡聚状态与 biological assembly。</x:v>
      </x:c>
      <x:c r="B12" s="323"/>
      <x:c r="C12" s="323"/>
      <x:c r="D12" s="323"/>
      <x:c r="E12" s="323"/>
      <x:c r="F12" s="323"/>
      <x:c r="G12" s="323"/>
      <x:c r="H12" s="323"/>
      <x:c r="I12" s="323"/>
      <x:c r="J12" s="323"/>
    </x:row>
  </x:sheetData>
  <x:mergeCells>
    <x:mergeCell ref="A12:J12"/>
  </x:mergeCells>
  <x:pageMargins left="0.7" right="0.7" top="0.75" bottom="0.75" header="0.3" footer="0.3"/>
  <x:tableParts count="1">
    <x:tablePart xmlns:r="http://schemas.openxmlformats.org/officeDocument/2006/relationships" r:id="Re06e50ae5a05457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4" customHeight="1">
      <x:c r="A1" s="243" t="str">
        <x:v>字段</x:v>
      </x:c>
      <x:c r="B1" s="243" t="str">
        <x:v>含义</x:v>
      </x:c>
      <x:c r="C1" s="243" t="str">
        <x:v>要求</x:v>
      </x:c>
    </x:row>
    <x:row r="2" ht="42" customHeight="1">
      <x:c r="A2" s="265" t="str">
        <x:v>target_id / 靶点ID/基因</x:v>
      </x:c>
      <x:c r="B2" s="266" t="str">
        <x:v>官方基因符号、病原体基因/蛋白ID或抗原名</x:v>
      </x:c>
      <x:c r="C2" s="267" t="str">
        <x:v>主键候选；需与 organism 联合去重</x:v>
      </x:c>
    </x:row>
    <x:row r="3" ht="42" customHeight="1">
      <x:c r="A3" s="268" t="str">
        <x:v>Open Targets/Ensembl ID</x:v>
      </x:c>
      <x:c r="B3" s="269" t="str">
        <x:v>人类靶点稳定 Ensembl ID</x:v>
      </x:c>
      <x:c r="C3" s="270" t="str">
        <x:v>人类蛋白优先主键</x:v>
      </x:c>
    </x:row>
    <x:row r="4" ht="42" customHeight="1">
      <x:c r="A4" s="268" t="str">
        <x:v>UniProt</x:v>
      </x:c>
      <x:c r="B4" s="269" t="str">
        <x:v>蛋白 accession</x:v>
      </x:c>
      <x:c r="C4" s="270" t="str">
        <x:v>RCSB/AlphaFold 查询主键</x:v>
      </x:c>
    </x:row>
    <x:row r="5" ht="42" customHeight="1">
      <x:c r="A5" s="268" t="str">
        <x:v>structure_source</x:v>
      </x:c>
      <x:c r="B5" s="269" t="str">
        <x:v>RCSB 或 ALPHAFOLD</x:v>
      </x:c>
      <x:c r="C5" s="270" t="str">
        <x:v>实验/预测必须分开</x:v>
      </x:c>
    </x:row>
    <x:row r="6" ht="42" customHeight="1">
      <x:c r="A6" s="268" t="str">
        <x:v>candidate_rank</x:v>
      </x:c>
      <x:c r="B6" s="269" t="str">
        <x:v>同一靶点结构候选排名</x:v>
      </x:c>
      <x:c r="C6" s="270" t="str">
        <x:v>默认只下载 rank=1，保留更多候选供审查</x:v>
      </x:c>
    </x:row>
    <x:row r="7" ht="42" customHeight="1">
      <x:c r="A7" s="268" t="str">
        <x:v>download_url</x:v>
      </x:c>
      <x:c r="B7" s="269" t="str">
        <x:v>直接结构下载链接</x:v>
      </x:c>
      <x:c r="C7" s="270" t="str">
        <x:v>RCSB 默认 mmCIF gz</x:v>
      </x:c>
    </x:row>
    <x:row r="8" ht="42" customHeight="1">
      <x:c r="A8" s="268" t="str">
        <x:v>enabled_default</x:v>
      </x:c>
      <x:c r="B8" s="269" t="str">
        <x:v>是否默认下载</x:v>
      </x:c>
      <x:c r="C8" s="270" t="str">
        <x:v>NO 表示可选/表位结构/预测结构</x:v>
      </x:c>
    </x:row>
    <x:row r="9" ht="42" customHeight="1">
      <x:c r="A9" s="268" t="str">
        <x:v>structure_scope</x:v>
      </x:c>
      <x:c r="B9" s="269" t="str">
        <x:v>全长、结构域、表位肽、复合物等</x:v>
      </x:c>
      <x:c r="C9" s="270" t="str">
        <x:v>建模前必须核验</x:v>
      </x:c>
    </x:row>
    <x:row r="10" ht="42" customHeight="1">
      <x:c r="A10" s="268" t="str">
        <x:v>requires_scope_review</x:v>
      </x:c>
      <x:c r="B10" s="269" t="str">
        <x:v>是否需要链和残基范围人工审查</x:v>
      </x:c>
      <x:c r="C10" s="270" t="str">
        <x:v>实验结构通常仍为 YES</x:v>
      </x:c>
    </x:row>
    <x:row r="11" ht="42" customHeight="1">
      <x:c r="A11" s="268" t="str">
        <x:v>local_status</x:v>
      </x:c>
      <x:c r="B11" s="269" t="str">
        <x:v>ROUTED_LOCAL / ASSET_ONLY_LOCAL / MISSING</x:v>
      </x:c>
      <x:c r="C11" s="270" t="str">
        <x:v>避免重复下载</x:v>
      </x:c>
    </x:row>
    <x:row r="12" ht="42" customHeight="1">
      <x:c r="A12" s="268" t="str">
        <x:v>association_score</x:v>
      </x:c>
      <x:c r="B12" s="269" t="str">
        <x:v>Open Targets 直接关联综合分数</x:v>
      </x:c>
      <x:c r="C12" s="270" t="str">
        <x:v>用于排序，不等于临床有效性</x:v>
      </x:c>
    </x:row>
    <x:row r="13" ht="42" customHeight="1">
      <x:c r="A13" s="271" t="str">
        <x:v>top_indications</x:v>
      </x:c>
      <x:c r="B13" s="272" t="str">
        <x:v>按关联分数排序的疾病/适应症摘要</x:v>
      </x:c>
      <x:c r="C13" s="273" t="str">
        <x:v>完整 pair 保存在 Parquet</x:v>
      </x:c>
    </x:row>
  </x:sheetData>
  <x:pageMargins left="0.7" right="0.7" top="0.75" bottom="0.75" header="0.3" footer="0.3"/>
  <x:tableParts count="1">
    <x:tablePart xmlns:r="http://schemas.openxmlformats.org/officeDocument/2006/relationships" r:id="Red20ae1714f2452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15" t="str">
        <x:v>数据源、覆盖口径与结构质量等级</x:v>
      </x:c>
      <x:c r="B1" s="315"/>
      <x:c r="C1" s="315"/>
      <x:c r="D1" s="315"/>
      <x:c r="E1" s="315"/>
      <x:c r="F1" s="315"/>
      <x:c r="G1" s="315"/>
      <x:c r="H1" s="315"/>
    </x:row>
    <x:row r="2">
      <x:c r="A2" s="315"/>
      <x:c r="B2" s="315"/>
      <x:c r="C2" s="315"/>
      <x:c r="D2" s="315"/>
      <x:c r="E2" s="315"/>
      <x:c r="F2" s="315"/>
      <x:c r="G2" s="315"/>
      <x:c r="H2" s="315"/>
    </x:row>
    <x:row r="4" ht="50" customHeight="1">
      <x:c r="A4" s="320" t="str">
        <x:v>模块</x:v>
      </x:c>
      <x:c r="B4" s="320" t="str">
        <x:v>权威来源</x:v>
      </x:c>
      <x:c r="C4" s="320" t="str">
        <x:v>URL/路径</x:v>
      </x:c>
      <x:c r="D4" s="320" t="str">
        <x:v>用途</x:v>
      </x:c>
      <x:c r="E4" s="320" t="str">
        <x:v>更新策略</x:v>
      </x:c>
      <x:c r="F4" s="320" t="str">
        <x:v>关键限制</x:v>
      </x:c>
      <x:c r="G4" s="320" t="str">
        <x:v>建议质量等级</x:v>
      </x:c>
      <x:c r="H4" s="320" t="str">
        <x:v>备注</x:v>
      </x:c>
    </x:row>
    <x:row r="5" ht="50" customHeight="1">
      <x:c r="A5" s="156" t="str">
        <x:v>疾病–人类靶点</x:v>
      </x:c>
      <x:c r="B5" s="157" t="str">
        <x:v>Open Targets Platform 26.06</x:v>
      </x:c>
      <x:c r="C5" s="157" t="str">
        <x:v>https://blog.opentargets.org/26.06/</x:v>
      </x:c>
      <x:c r="D5" s="157" t="str">
        <x:v>全部直接疾病–蛋白靶点关联</x:v>
      </x:c>
      <x:c r="E5" s="157" t="str">
        <x:v>按 release 重跑</x:v>
      </x:c>
      <x:c r="F5" s="157" t="str">
        <x:v>关联不等同临床有效性</x:v>
      </x:c>
      <x:c r="G5" s="157" t="str">
        <x:v>—</x:v>
      </x:c>
      <x:c r="H5" s="158" t="str">
        <x:v>程序保留全量 pair Parquet</x:v>
      </x:c>
    </x:row>
    <x:row r="6" ht="50" customHeight="1">
      <x:c r="A6" s="159" t="str">
        <x:v>批量数据</x:v>
      </x:c>
      <x:c r="B6" s="160" t="str">
        <x:v>Open Targets public S3</x:v>
      </x:c>
      <x:c r="C6" s="160" t="str">
        <x:v>s3://open-targets-public-data-releases/platform/26.06/output</x:v>
      </x:c>
      <x:c r="D6" s="160" t="str">
        <x:v>target/disease/association_overall_direct</x:v>
      </x:c>
      <x:c r="E6" s="160" t="str">
        <x:v>按 release 参数切换</x:v>
      </x:c>
      <x:c r="F6" s="160" t="str">
        <x:v>需要联网与足够磁盘</x:v>
      </x:c>
      <x:c r="G6" s="160" t="str">
        <x:v>—</x:v>
      </x:c>
      <x:c r="H6" s="161" t="str">
        <x:v>官方公开桶</x:v>
      </x:c>
    </x:row>
    <x:row r="7" ht="50" customHeight="1">
      <x:c r="A7" s="159" t="str">
        <x:v>实验结构</x:v>
      </x:c>
      <x:c r="B7" s="160" t="str">
        <x:v>RCSB Search/Data API</x:v>
      </x:c>
      <x:c r="C7" s="160" t="str">
        <x:v>https://search.rcsb.org/</x:v>
      </x:c>
      <x:c r="D7" s="160" t="str">
        <x:v>按 UniProt 检索并下载 mmCIF</x:v>
      </x:c>
      <x:c r="E7" s="160" t="str">
        <x:v>持续更新/缓存</x:v>
      </x:c>
      <x:c r="F7" s="160" t="str">
        <x:v>最高分辨率不一定最合适</x:v>
      </x:c>
      <x:c r="G7" s="160" t="str">
        <x:v>S1–S2</x:v>
      </x:c>
      <x:c r="H7" s="161" t="str">
        <x:v>必须 scope review</x:v>
      </x:c>
    </x:row>
    <x:row r="8" ht="50" customHeight="1">
      <x:c r="A8" s="159" t="str">
        <x:v>预测结构</x:v>
      </x:c>
      <x:c r="B8" s="160" t="str">
        <x:v>AlphaFold DB</x:v>
      </x:c>
      <x:c r="C8" s="160" t="str">
        <x:v>https://alphafold.ebi.ac.uk/api/prediction/{UniProt}</x:v>
      </x:c>
      <x:c r="D8" s="160" t="str">
        <x:v>无实验结构时回退</x:v>
      </x:c>
      <x:c r="E8" s="160" t="str">
        <x:v>API 动态返回版本</x:v>
      </x:c>
      <x:c r="F8" s="160" t="str">
        <x:v>不得标为实验结构</x:v>
      </x:c>
      <x:c r="G8" s="160" t="str">
        <x:v>S3</x:v>
      </x:c>
      <x:c r="H8" s="161" t="str">
        <x:v>保留 pLDDT/PAE</x:v>
      </x:c>
    </x:row>
    <x:row r="9" ht="50" customHeight="1">
      <x:c r="A9" s="159" t="str">
        <x:v>病原体抗原</x:v>
      </x:c>
      <x:c r="B9" s="160" t="str">
        <x:v>IEDB full exports</x:v>
      </x:c>
      <x:c r="C9" s="160" t="str">
        <x:v>https://www.iedb.org/database_export_v3.php</x:v>
      </x:c>
      <x:c r="D9" s="160" t="str">
        <x:v>阳性抗体/B-cell 抗原</x:v>
      </x:c>
      <x:c r="E9" s="160" t="str">
        <x:v>建议每周/月更新</x:v>
      </x:c>
      <x:c r="F9" s="160" t="str">
        <x:v>疾病–抗原需单独整理</x:v>
      </x:c>
      <x:c r="G9" s="160" t="str">
        <x:v>S1–S5</x:v>
      </x:c>
      <x:c r="H9" s="161" t="str">
        <x:v>不属于 Open Targets 人类主干</x:v>
      </x:c>
    </x:row>
    <x:row r="10" ht="50" customHeight="1">
      <x:c r="A10" s="162" t="str">
        <x:v>结构格式</x:v>
      </x:c>
      <x:c r="B10" s="163" t="str">
        <x:v>PDBx/mmCIF</x:v>
      </x:c>
      <x:c r="C10" s="163" t="str">
        <x:v>https://files.rcsb.org/download/</x:v>
      </x:c>
      <x:c r="D10" s="163" t="str">
        <x:v>规范下载格式</x:v>
      </x:c>
      <x:c r="E10" s="163" t="str">
        <x:v>固定</x:v>
      </x:c>
      <x:c r="F10" s="163" t="str">
        <x:v>legacy PDB 有格式限制</x:v>
      </x:c>
      <x:c r="G10" s="163" t="str">
        <x:v>—</x:v>
      </x:c>
      <x:c r="H10" s="164" t="str">
        <x:v>清单保留 PDB 兼容链接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65cd0428c2994292"/>
  </x:tableParts>
</x:worksheet>
</file>